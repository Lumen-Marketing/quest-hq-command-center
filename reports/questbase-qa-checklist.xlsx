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hecklist" sheetId="2" r:id="rId2"/>
    <sheet name="Coverage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7A6E62"/>
      <name val="Calibri"/>
    </font>
    <font>
      <b/>
      <sz val="15"/>
      <color rgb="FF1B17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B10"/>
        <bgColor indexed="64"/>
      </patternFill>
    </fill>
    <fill>
      <patternFill patternType="solid">
        <fgColor rgb="FFF6F2EC"/>
        <bgColor indexed="64"/>
      </patternFill>
    </fill>
  </fills>
  <borders count="2">
    <border>
      <left/>
      <right/>
      <top/>
      <bottom/>
      <diagonal/>
    </border>
    <border>
      <left style="thin">
        <color rgb="FFE0D8CE"/>
      </left>
      <right style="thin">
        <color rgb="FFE0D8CE"/>
      </right>
      <top style="thin">
        <color rgb="FFE0D8CE"/>
      </top>
      <bottom style="thin">
        <color rgb="FFE0D8C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horizontal="center"/>
    </xf>
    <xf numFmtId="0" fontId="4" fillId="0" borderId="0" xfId="0" applyFont="1"/>
  </cellXfs>
  <cellStyles count="1">
    <cellStyle name="Normal" xfId="0" builtinId="0"/>
  </cellStyles>
  <dxfs count="3">
    <dxf>
      <font>
        <color rgb="FF8B1A1A"/>
      </font>
      <fill>
        <patternFill>
          <bgColor rgb="FFFBE7E6"/>
        </patternFill>
      </fill>
    </dxf>
    <dxf>
      <font>
        <color rgb="FF14612F"/>
      </font>
      <fill>
        <patternFill>
          <bgColor rgb="FFE9F5ED"/>
        </patternFill>
      </fill>
    </dxf>
    <dxf>
      <font>
        <color rgb="FF7A5200"/>
      </font>
      <fill>
        <patternFill>
          <bgColor rgb="FFFCF3E0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6" width="13" customWidth="1"/>
  </cols>
  <sheetData>
    <row r="1">
      <c r="A1" s="7" t="inlineStr">
        <is>
          <t xml:space="preserve">Questbase QA sweep</t>
        </is>
      </c>
    </row>
    <row r="2">
      <c r="A2" s="2" t="inlineStr">
        <is>
          <t xml:space="preserve">Build 5ed3f48</t>
        </is>
      </c>
    </row>
    <row r="3">
      <c r="A3" s="5" t="inlineStr">
        <is>
          <t xml:space="preserve">Set Result on the Checklist sheet; these totals follow automatically.</t>
        </is>
      </c>
    </row>
    <row r="4"/>
    <row r="5">
      <c r="A5" s="1" t="inlineStr">
        <is>
          <t xml:space="preserve">Overall</t>
        </is>
      </c>
      <c r="B5" s="1" t="inlineStr">
        <is>
          <t xml:space="preserve">Count</t>
        </is>
      </c>
    </row>
    <row r="6">
      <c r="A6" s="2" t="inlineStr">
        <is>
          <t xml:space="preserve">Pass</t>
        </is>
      </c>
      <c r="B6" s="2">
        <f>COUNTIF(Checklist!$G$2:$G$120,"Pass")</f>
      </c>
    </row>
    <row r="7">
      <c r="A7" s="2" t="inlineStr">
        <is>
          <t xml:space="preserve">Fail</t>
        </is>
      </c>
      <c r="B7" s="2">
        <f>COUNTIF(Checklist!$G$2:$G$120,"Fail")</f>
      </c>
    </row>
    <row r="8">
      <c r="A8" s="2" t="inlineStr">
        <is>
          <t xml:space="preserve">Blocked</t>
        </is>
      </c>
      <c r="B8" s="2">
        <f>COUNTIF(Checklist!$G$2:$G$120,"Blocked")</f>
      </c>
    </row>
    <row r="9">
      <c r="A9" s="2" t="inlineStr">
        <is>
          <t xml:space="preserve">Not tested</t>
        </is>
      </c>
      <c r="B9" s="2">
        <f>COUNTIF(Checklist!$G$2:$G$120,"Not tested")</f>
      </c>
    </row>
    <row r="10">
      <c r="A10" s="2" t="inlineStr">
        <is>
          <t xml:space="preserve">N/A</t>
        </is>
      </c>
      <c r="B10" s="2">
        <f>COUNTIF(Checklist!$G$2:$G$120,"N/A")</f>
      </c>
    </row>
    <row r="11">
      <c r="A11" s="1" t="inlineStr">
        <is>
          <t xml:space="preserve">Total checks</t>
        </is>
      </c>
      <c r="B11" s="1">
        <v>119</v>
      </c>
    </row>
    <row r="12"/>
    <row r="13">
      <c r="A13" s="1" t="inlineStr">
        <is>
          <t xml:space="preserve">By section</t>
        </is>
      </c>
      <c r="B13" s="1" t="inlineStr">
        <is>
          <t xml:space="preserve">Pass</t>
        </is>
      </c>
      <c r="C13" s="1" t="inlineStr">
        <is>
          <t xml:space="preserve">Fail</t>
        </is>
      </c>
      <c r="D13" s="1" t="inlineStr">
        <is>
          <t xml:space="preserve">Blocked</t>
        </is>
      </c>
      <c r="E13" s="1" t="inlineStr">
        <is>
          <t xml:space="preserve">Not tested</t>
        </is>
      </c>
      <c r="F13" s="1" t="inlineStr">
        <is>
          <t xml:space="preserve">Total</t>
        </is>
      </c>
    </row>
    <row r="14">
      <c r="A14" s="2" t="inlineStr">
        <is>
          <t xml:space="preserve">Before you start</t>
        </is>
      </c>
      <c r="B14" s="2">
        <f>COUNTIFS(Checklist!$B$2:$B$120,"Before you start",Checklist!$G$2:$G$120,"Pass")</f>
      </c>
      <c r="C14" s="2">
        <f>COUNTIFS(Checklist!$B$2:$B$120,"Before you start",Checklist!$G$2:$G$120,"Fail")</f>
      </c>
      <c r="D14" s="2">
        <f>COUNTIFS(Checklist!$B$2:$B$120,"Before you start",Checklist!$G$2:$G$120,"Blocked")</f>
      </c>
      <c r="E14" s="2">
        <f>COUNTIFS(Checklist!$B$2:$B$120,"Before you start",Checklist!$G$2:$G$120,"Not tested")</f>
      </c>
      <c r="F14" s="2">
        <f>COUNTIF(Checklist!$B$2:$B$120,"Before you start")</f>
      </c>
    </row>
    <row r="15">
      <c r="A15" s="2" t="inlineStr">
        <is>
          <t xml:space="preserve">Smoke — every route loads</t>
        </is>
      </c>
      <c r="B15" s="2">
        <f>COUNTIFS(Checklist!$B$2:$B$120,"Smoke — every route loads",Checklist!$G$2:$G$120,"Pass")</f>
      </c>
      <c r="C15" s="2">
        <f>COUNTIFS(Checklist!$B$2:$B$120,"Smoke — every route loads",Checklist!$G$2:$G$120,"Fail")</f>
      </c>
      <c r="D15" s="2">
        <f>COUNTIFS(Checklist!$B$2:$B$120,"Smoke — every route loads",Checklist!$G$2:$G$120,"Blocked")</f>
      </c>
      <c r="E15" s="2">
        <f>COUNTIFS(Checklist!$B$2:$B$120,"Smoke — every route loads",Checklist!$G$2:$G$120,"Not tested")</f>
      </c>
      <c r="F15" s="2">
        <f>COUNTIF(Checklist!$B$2:$B$120,"Smoke — every route loads")</f>
      </c>
    </row>
    <row r="16">
      <c r="A16" s="2" t="inlineStr">
        <is>
          <t xml:space="preserve">Shipped in the last two days</t>
        </is>
      </c>
      <c r="B16" s="2">
        <f>COUNTIFS(Checklist!$B$2:$B$120,"Shipped in the last two days",Checklist!$G$2:$G$120,"Pass")</f>
      </c>
      <c r="C16" s="2">
        <f>COUNTIFS(Checklist!$B$2:$B$120,"Shipped in the last two days",Checklist!$G$2:$G$120,"Fail")</f>
      </c>
      <c r="D16" s="2">
        <f>COUNTIFS(Checklist!$B$2:$B$120,"Shipped in the last two days",Checklist!$G$2:$G$120,"Blocked")</f>
      </c>
      <c r="E16" s="2">
        <f>COUNTIFS(Checklist!$B$2:$B$120,"Shipped in the last two days",Checklist!$G$2:$G$120,"Not tested")</f>
      </c>
      <c r="F16" s="2">
        <f>COUNTIF(Checklist!$B$2:$B$120,"Shipped in the last two days")</f>
      </c>
    </row>
    <row r="17">
      <c r="A17" s="2" t="inlineStr">
        <is>
          <t xml:space="preserve">Destructive and password-gated</t>
        </is>
      </c>
      <c r="B17" s="2">
        <f>COUNTIFS(Checklist!$B$2:$B$120,"Destructive and password-gated",Checklist!$G$2:$G$120,"Pass")</f>
      </c>
      <c r="C17" s="2">
        <f>COUNTIFS(Checklist!$B$2:$B$120,"Destructive and password-gated",Checklist!$G$2:$G$120,"Fail")</f>
      </c>
      <c r="D17" s="2">
        <f>COUNTIFS(Checklist!$B$2:$B$120,"Destructive and password-gated",Checklist!$G$2:$G$120,"Blocked")</f>
      </c>
      <c r="E17" s="2">
        <f>COUNTIFS(Checklist!$B$2:$B$120,"Destructive and password-gated",Checklist!$G$2:$G$120,"Not tested")</f>
      </c>
      <c r="F17" s="2">
        <f>COUNTIF(Checklist!$B$2:$B$120,"Destructive and password-gated")</f>
      </c>
    </row>
    <row r="18">
      <c r="A18" s="2" t="inlineStr">
        <is>
          <t xml:space="preserve">Quest CRM</t>
        </is>
      </c>
      <c r="B18" s="2">
        <f>COUNTIFS(Checklist!$B$2:$B$120,"Quest CRM",Checklist!$G$2:$G$120,"Pass")</f>
      </c>
      <c r="C18" s="2">
        <f>COUNTIFS(Checklist!$B$2:$B$120,"Quest CRM",Checklist!$G$2:$G$120,"Fail")</f>
      </c>
      <c r="D18" s="2">
        <f>COUNTIFS(Checklist!$B$2:$B$120,"Quest CRM",Checklist!$G$2:$G$120,"Blocked")</f>
      </c>
      <c r="E18" s="2">
        <f>COUNTIFS(Checklist!$B$2:$B$120,"Quest CRM",Checklist!$G$2:$G$120,"Not tested")</f>
      </c>
      <c r="F18" s="2">
        <f>COUNTIF(Checklist!$B$2:$B$120,"Quest CRM")</f>
      </c>
    </row>
    <row r="19">
      <c r="A19" s="2" t="inlineStr">
        <is>
          <t xml:space="preserve">Workspace and App Builder</t>
        </is>
      </c>
      <c r="B19" s="2">
        <f>COUNTIFS(Checklist!$B$2:$B$120,"Workspace and App Builder",Checklist!$G$2:$G$120,"Pass")</f>
      </c>
      <c r="C19" s="2">
        <f>COUNTIFS(Checklist!$B$2:$B$120,"Workspace and App Builder",Checklist!$G$2:$G$120,"Fail")</f>
      </c>
      <c r="D19" s="2">
        <f>COUNTIFS(Checklist!$B$2:$B$120,"Workspace and App Builder",Checklist!$G$2:$G$120,"Blocked")</f>
      </c>
      <c r="E19" s="2">
        <f>COUNTIFS(Checklist!$B$2:$B$120,"Workspace and App Builder",Checklist!$G$2:$G$120,"Not tested")</f>
      </c>
      <c r="F19" s="2">
        <f>COUNTIF(Checklist!$B$2:$B$120,"Workspace and App Builder")</f>
      </c>
    </row>
    <row r="20">
      <c r="A20" s="2" t="inlineStr">
        <is>
          <t xml:space="preserve">Operations, finance and estimating</t>
        </is>
      </c>
      <c r="B20" s="2">
        <f>COUNTIFS(Checklist!$B$2:$B$120,"Operations, finance and estimating",Checklist!$G$2:$G$120,"Pass")</f>
      </c>
      <c r="C20" s="2">
        <f>COUNTIFS(Checklist!$B$2:$B$120,"Operations, finance and estimating",Checklist!$G$2:$G$120,"Fail")</f>
      </c>
      <c r="D20" s="2">
        <f>COUNTIFS(Checklist!$B$2:$B$120,"Operations, finance and estimating",Checklist!$G$2:$G$120,"Blocked")</f>
      </c>
      <c r="E20" s="2">
        <f>COUNTIFS(Checklist!$B$2:$B$120,"Operations, finance and estimating",Checklist!$G$2:$G$120,"Not tested")</f>
      </c>
      <c r="F20" s="2">
        <f>COUNTIF(Checklist!$B$2:$B$120,"Operations, finance and estimating")</f>
      </c>
    </row>
    <row r="21">
      <c r="A21" s="2" t="inlineStr">
        <is>
          <t xml:space="preserve">Messages, notifications and search</t>
        </is>
      </c>
      <c r="B21" s="2">
        <f>COUNTIFS(Checklist!$B$2:$B$120,"Messages, notifications and search",Checklist!$G$2:$G$120,"Pass")</f>
      </c>
      <c r="C21" s="2">
        <f>COUNTIFS(Checklist!$B$2:$B$120,"Messages, notifications and search",Checklist!$G$2:$G$120,"Fail")</f>
      </c>
      <c r="D21" s="2">
        <f>COUNTIFS(Checklist!$B$2:$B$120,"Messages, notifications and search",Checklist!$G$2:$G$120,"Blocked")</f>
      </c>
      <c r="E21" s="2">
        <f>COUNTIFS(Checklist!$B$2:$B$120,"Messages, notifications and search",Checklist!$G$2:$G$120,"Not tested")</f>
      </c>
      <c r="F21" s="2">
        <f>COUNTIF(Checklist!$B$2:$B$120,"Messages, notifications and search")</f>
      </c>
    </row>
    <row r="22">
      <c r="A22" s="2" t="inlineStr">
        <is>
          <t xml:space="preserve">Company, users and platform</t>
        </is>
      </c>
      <c r="B22" s="2">
        <f>COUNTIFS(Checklist!$B$2:$B$120,"Company, users and platform",Checklist!$G$2:$G$120,"Pass")</f>
      </c>
      <c r="C22" s="2">
        <f>COUNTIFS(Checklist!$B$2:$B$120,"Company, users and platform",Checklist!$G$2:$G$120,"Fail")</f>
      </c>
      <c r="D22" s="2">
        <f>COUNTIFS(Checklist!$B$2:$B$120,"Company, users and platform",Checklist!$G$2:$G$120,"Blocked")</f>
      </c>
      <c r="E22" s="2">
        <f>COUNTIFS(Checklist!$B$2:$B$120,"Company, users and platform",Checklist!$G$2:$G$120,"Not tested")</f>
      </c>
      <c r="F22" s="2">
        <f>COUNTIF(Checklist!$B$2:$B$120,"Company, users and platform")</f>
      </c>
    </row>
    <row r="23">
      <c r="A23" s="2" t="inlineStr">
        <is>
          <t xml:space="preserve">Cross-cutting</t>
        </is>
      </c>
      <c r="B23" s="2">
        <f>COUNTIFS(Checklist!$B$2:$B$120,"Cross-cutting",Checklist!$G$2:$G$120,"Pass")</f>
      </c>
      <c r="C23" s="2">
        <f>COUNTIFS(Checklist!$B$2:$B$120,"Cross-cutting",Checklist!$G$2:$G$120,"Fail")</f>
      </c>
      <c r="D23" s="2">
        <f>COUNTIFS(Checklist!$B$2:$B$120,"Cross-cutting",Checklist!$G$2:$G$120,"Blocked")</f>
      </c>
      <c r="E23" s="2">
        <f>COUNTIFS(Checklist!$B$2:$B$120,"Cross-cutting",Checklist!$G$2:$G$120,"Not tested")</f>
      </c>
      <c r="F23" s="2">
        <f>COUNTIF(Checklist!$B$2:$B$120,"Cross-cutting")</f>
      </c>
    </row>
    <row r="24">
      <c r="A24" s="2" t="inlineStr">
        <is>
          <t xml:space="preserve">Known issues — do not report these</t>
        </is>
      </c>
      <c r="B24" s="2">
        <f>COUNTIFS(Checklist!$B$2:$B$120,"Known issues — do not report these",Checklist!$G$2:$G$120,"Pass")</f>
      </c>
      <c r="C24" s="2">
        <f>COUNTIFS(Checklist!$B$2:$B$120,"Known issues — do not report these",Checklist!$G$2:$G$120,"Fail")</f>
      </c>
      <c r="D24" s="2">
        <f>COUNTIFS(Checklist!$B$2:$B$120,"Known issues — do not report these",Checklist!$G$2:$G$120,"Blocked")</f>
      </c>
      <c r="E24" s="2">
        <f>COUNTIFS(Checklist!$B$2:$B$120,"Known issues — do not report these",Checklist!$G$2:$G$120,"Not tested")</f>
      </c>
      <c r="F24" s="2">
        <f>COUNTIF(Checklist!$B$2:$B$120,"Known issues — do not report these")</f>
      </c>
    </row>
    <row r="25"/>
    <row r="26">
      <c r="A26" s="1" t="inlineStr">
        <is>
          <t xml:space="preserve">Critical checks outstanding</t>
        </is>
      </c>
      <c r="B26" s="1">
        <f>COUNTIFS(Checklist!$F$2:$F$120,"*critical*",Checklist!$G$2:$G$120,"Not tested")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6" customWidth="1"/>
    <col min="3" max="3" width="10" customWidth="1"/>
    <col min="4" max="4" width="46" customWidth="1"/>
    <col min="5" max="5" width="78" customWidth="1"/>
    <col min="6" max="6" width="22" customWidth="1"/>
    <col min="7" max="7" width="13" customWidth="1"/>
    <col min="8" max="8" width="14" customWidth="1"/>
    <col min="9" max="9" width="12" customWidth="1"/>
    <col min="10" max="10" width="46" customWidth="1"/>
  </cols>
  <sheetData>
    <row r="1" ht="26" customHeight="1">
      <c r="A1" s="1" t="inlineStr">
        <is>
          <t xml:space="preserve">ID</t>
        </is>
      </c>
      <c r="B1" s="1" t="inlineStr">
        <is>
          <t xml:space="preserve">Section</t>
        </is>
      </c>
      <c r="C1" s="1" t="inlineStr">
        <is>
          <t xml:space="preserve">Priority</t>
        </is>
      </c>
      <c r="D1" s="1" t="inlineStr">
        <is>
          <t xml:space="preserve">Check</t>
        </is>
      </c>
      <c r="E1" s="1" t="inlineStr">
        <is>
          <t xml:space="preserve">How to test / what to expect</t>
        </is>
      </c>
      <c r="F1" s="1" t="inlineStr">
        <is>
          <t xml:space="preserve">Flags</t>
        </is>
      </c>
      <c r="G1" s="1" t="inlineStr">
        <is>
          <t xml:space="preserve">Result</t>
        </is>
      </c>
      <c r="H1" s="1" t="inlineStr">
        <is>
          <t xml:space="preserve">Tester</t>
        </is>
      </c>
      <c r="I1" s="1" t="inlineStr">
        <is>
          <t xml:space="preserve">Date</t>
        </is>
      </c>
      <c r="J1" s="1" t="inlineStr">
        <is>
          <t xml:space="preserve">Notes</t>
        </is>
      </c>
    </row>
    <row r="2">
      <c r="A2" s="2" t="inlineStr">
        <is>
          <t xml:space="preserve">PREP-01</t>
        </is>
      </c>
      <c r="B2" s="2" t="inlineStr">
        <is>
          <t xml:space="preserve">Before you start</t>
        </is>
      </c>
      <c r="C2" s="2" t="inlineStr">
        <is>
          <t xml:space="preserve">Start</t>
        </is>
      </c>
      <c r="D2" s="3" t="inlineStr">
        <is>
          <t xml:space="preserve">Confirm the build under test</t>
        </is>
      </c>
      <c r="E2" s="3" t="inlineStr">
        <is>
          <t xml:space="preserve">Open the app and check the build id in the sidebar header. It should read 5ed3f48 or later. An older build means you are testing yesterday's bugs.</t>
        </is>
      </c>
      <c r="F2" s="2"/>
      <c r="G2" s="6" t="inlineStr">
        <is>
          <t xml:space="preserve">Not tested</t>
        </is>
      </c>
      <c r="H2" s="2"/>
      <c r="I2" s="2"/>
      <c r="J2" s="3"/>
    </row>
    <row r="3">
      <c r="A3" s="2" t="inlineStr">
        <is>
          <t xml:space="preserve">PREP-02</t>
        </is>
      </c>
      <c r="B3" s="2" t="inlineStr">
        <is>
          <t xml:space="preserve">Before you start</t>
        </is>
      </c>
      <c r="C3" s="2" t="inlineStr">
        <is>
          <t xml:space="preserve">Start</t>
        </is>
      </c>
      <c r="D3" s="3" t="inlineStr">
        <is>
          <t xml:space="preserve">Have two accounts ready</t>
        </is>
      </c>
      <c r="E3" s="3" t="inlineStr">
        <is>
          <t xml:space="preserve">An owner account and a limited-role member in the same company. Permission gates cannot be tested from an owner account — everything passes.</t>
        </is>
      </c>
      <c r="F3" s="2" t="inlineStr">
        <is>
          <t xml:space="preserve">blocks permissions</t>
        </is>
      </c>
      <c r="G3" s="6" t="inlineStr">
        <is>
          <t xml:space="preserve">Not tested</t>
        </is>
      </c>
      <c r="H3" s="2"/>
      <c r="I3" s="2"/>
      <c r="J3" s="3"/>
    </row>
    <row r="4">
      <c r="A4" s="2" t="inlineStr">
        <is>
          <t xml:space="preserve">PREP-03</t>
        </is>
      </c>
      <c r="B4" s="2" t="inlineStr">
        <is>
          <t xml:space="preserve">Before you start</t>
        </is>
      </c>
      <c r="C4" s="2" t="inlineStr">
        <is>
          <t xml:space="preserve">Start</t>
        </is>
      </c>
      <c r="D4" s="3" t="inlineStr">
        <is>
          <t xml:space="preserve">Open the browser console and leave it open</t>
        </is>
      </c>
      <c r="E4" s="3" t="inlineStr">
        <is>
          <t xml:space="preserve">A red error in the console is a fail even when the screen looks right. Note the first error, not the tenth — later ones are usually consequences.</t>
        </is>
      </c>
      <c r="F4" s="2"/>
      <c r="G4" s="6" t="inlineStr">
        <is>
          <t xml:space="preserve">Not tested</t>
        </is>
      </c>
      <c r="H4" s="2"/>
      <c r="I4" s="2"/>
      <c r="J4" s="3"/>
    </row>
    <row r="5">
      <c r="A5" s="2" t="inlineStr">
        <is>
          <t xml:space="preserve">PREP-04</t>
        </is>
      </c>
      <c r="B5" s="2" t="inlineStr">
        <is>
          <t xml:space="preserve">Before you start</t>
        </is>
      </c>
      <c r="C5" s="2" t="inlineStr">
        <is>
          <t xml:space="preserve">Start</t>
        </is>
      </c>
      <c r="D5" s="3" t="inlineStr">
        <is>
          <t xml:space="preserve">Decide what a fail means</t>
        </is>
      </c>
      <c r="E5" s="3" t="inlineStr">
        <is>
          <t xml:space="preserve">Fail = wrong result, lost data, a dead control, or a console error. Not a fail: anything in the Known issues section at the bottom.</t>
        </is>
      </c>
      <c r="F5" s="2"/>
      <c r="G5" s="6" t="inlineStr">
        <is>
          <t xml:space="preserve">Not tested</t>
        </is>
      </c>
      <c r="H5" s="2"/>
      <c r="I5" s="2"/>
      <c r="J5" s="3"/>
    </row>
    <row r="6">
      <c r="A6" s="2" t="inlineStr">
        <is>
          <t xml:space="preserve">SMOKE-01</t>
        </is>
      </c>
      <c r="B6" s="2" t="inlineStr">
        <is>
          <t xml:space="preserve">Smoke — every route loads</t>
        </is>
      </c>
      <c r="C6" s="2" t="inlineStr">
        <is>
          <t xml:space="preserve">P0</t>
        </is>
      </c>
      <c r="D6" s="3" t="inlineStr">
        <is>
          <t xml:space="preserve">/dashboard</t>
        </is>
      </c>
      <c r="E6" s="3" t="inlineStr">
        <is>
          <t xml:space="preserve">Loads, shows content (not an empty shell or a stuck loader), no console error.</t>
        </is>
      </c>
      <c r="F6" s="2"/>
      <c r="G6" s="6" t="inlineStr">
        <is>
          <t xml:space="preserve">Not tested</t>
        </is>
      </c>
      <c r="H6" s="2"/>
      <c r="I6" s="2"/>
      <c r="J6" s="3"/>
    </row>
    <row r="7">
      <c r="A7" s="2" t="inlineStr">
        <is>
          <t xml:space="preserve">SMOKE-02</t>
        </is>
      </c>
      <c r="B7" s="2" t="inlineStr">
        <is>
          <t xml:space="preserve">Smoke — every route loads</t>
        </is>
      </c>
      <c r="C7" s="2" t="inlineStr">
        <is>
          <t xml:space="preserve">P0</t>
        </is>
      </c>
      <c r="D7" s="3" t="inlineStr">
        <is>
          <t xml:space="preserve">/workday</t>
        </is>
      </c>
      <c r="E7" s="3" t="inlineStr">
        <is>
          <t xml:space="preserve">Loads, shows content (not an empty shell or a stuck loader), no console error.</t>
        </is>
      </c>
      <c r="F7" s="2"/>
      <c r="G7" s="6" t="inlineStr">
        <is>
          <t xml:space="preserve">Not tested</t>
        </is>
      </c>
      <c r="H7" s="2"/>
      <c r="I7" s="2"/>
      <c r="J7" s="3"/>
    </row>
    <row r="8">
      <c r="A8" s="2" t="inlineStr">
        <is>
          <t xml:space="preserve">SMOKE-03</t>
        </is>
      </c>
      <c r="B8" s="2" t="inlineStr">
        <is>
          <t xml:space="preserve">Smoke — every route loads</t>
        </is>
      </c>
      <c r="C8" s="2" t="inlineStr">
        <is>
          <t xml:space="preserve">P0</t>
        </is>
      </c>
      <c r="D8" s="3" t="inlineStr">
        <is>
          <t xml:space="preserve">/jobs</t>
        </is>
      </c>
      <c r="E8" s="3" t="inlineStr">
        <is>
          <t xml:space="preserve">Loads, shows content (not an empty shell or a stuck loader), no console error.</t>
        </is>
      </c>
      <c r="F8" s="2"/>
      <c r="G8" s="6" t="inlineStr">
        <is>
          <t xml:space="preserve">Not tested</t>
        </is>
      </c>
      <c r="H8" s="2"/>
      <c r="I8" s="2"/>
      <c r="J8" s="3"/>
    </row>
    <row r="9">
      <c r="A9" s="2" t="inlineStr">
        <is>
          <t xml:space="preserve">SMOKE-04</t>
        </is>
      </c>
      <c r="B9" s="2" t="inlineStr">
        <is>
          <t xml:space="preserve">Smoke — every route loads</t>
        </is>
      </c>
      <c r="C9" s="2" t="inlineStr">
        <is>
          <t xml:space="preserve">P0</t>
        </is>
      </c>
      <c r="D9" s="3" t="inlineStr">
        <is>
          <t xml:space="preserve">/tasks</t>
        </is>
      </c>
      <c r="E9" s="3" t="inlineStr">
        <is>
          <t xml:space="preserve">Loads, shows content (not an empty shell or a stuck loader), no console error.</t>
        </is>
      </c>
      <c r="F9" s="2"/>
      <c r="G9" s="6" t="inlineStr">
        <is>
          <t xml:space="preserve">Not tested</t>
        </is>
      </c>
      <c r="H9" s="2"/>
      <c r="I9" s="2"/>
      <c r="J9" s="3"/>
    </row>
    <row r="10">
      <c r="A10" s="2" t="inlineStr">
        <is>
          <t xml:space="preserve">SMOKE-05</t>
        </is>
      </c>
      <c r="B10" s="2" t="inlineStr">
        <is>
          <t xml:space="preserve">Smoke — every route loads</t>
        </is>
      </c>
      <c r="C10" s="2" t="inlineStr">
        <is>
          <t xml:space="preserve">P0</t>
        </is>
      </c>
      <c r="D10" s="3" t="inlineStr">
        <is>
          <t xml:space="preserve">/files</t>
        </is>
      </c>
      <c r="E10" s="3" t="inlineStr">
        <is>
          <t xml:space="preserve">Loads, shows content (not an empty shell or a stuck loader), no console error.</t>
        </is>
      </c>
      <c r="F10" s="2"/>
      <c r="G10" s="6" t="inlineStr">
        <is>
          <t xml:space="preserve">Not tested</t>
        </is>
      </c>
      <c r="H10" s="2"/>
      <c r="I10" s="2"/>
      <c r="J10" s="3"/>
    </row>
    <row r="11">
      <c r="A11" s="2" t="inlineStr">
        <is>
          <t xml:space="preserve">SMOKE-06</t>
        </is>
      </c>
      <c r="B11" s="2" t="inlineStr">
        <is>
          <t xml:space="preserve">Smoke — every route loads</t>
        </is>
      </c>
      <c r="C11" s="2" t="inlineStr">
        <is>
          <t xml:space="preserve">P0</t>
        </is>
      </c>
      <c r="D11" s="3" t="inlineStr">
        <is>
          <t xml:space="preserve">/client-portals</t>
        </is>
      </c>
      <c r="E11" s="3" t="inlineStr">
        <is>
          <t xml:space="preserve">Loads, shows content (not an empty shell or a stuck loader), no console error.</t>
        </is>
      </c>
      <c r="F11" s="2"/>
      <c r="G11" s="6" t="inlineStr">
        <is>
          <t xml:space="preserve">Not tested</t>
        </is>
      </c>
      <c r="H11" s="2"/>
      <c r="I11" s="2"/>
      <c r="J11" s="3"/>
    </row>
    <row r="12">
      <c r="A12" s="2" t="inlineStr">
        <is>
          <t xml:space="preserve">SMOKE-07</t>
        </is>
      </c>
      <c r="B12" s="2" t="inlineStr">
        <is>
          <t xml:space="preserve">Smoke — every route loads</t>
        </is>
      </c>
      <c r="C12" s="2" t="inlineStr">
        <is>
          <t xml:space="preserve">P0</t>
        </is>
      </c>
      <c r="D12" s="3" t="inlineStr">
        <is>
          <t xml:space="preserve">/workspaces</t>
        </is>
      </c>
      <c r="E12" s="3" t="inlineStr">
        <is>
          <t xml:space="preserve">Loads, shows content (not an empty shell or a stuck loader), no console error.</t>
        </is>
      </c>
      <c r="F12" s="2"/>
      <c r="G12" s="6" t="inlineStr">
        <is>
          <t xml:space="preserve">Not tested</t>
        </is>
      </c>
      <c r="H12" s="2"/>
      <c r="I12" s="2"/>
      <c r="J12" s="3"/>
    </row>
    <row r="13">
      <c r="A13" s="2" t="inlineStr">
        <is>
          <t xml:space="preserve">SMOKE-08</t>
        </is>
      </c>
      <c r="B13" s="2" t="inlineStr">
        <is>
          <t xml:space="preserve">Smoke — every route loads</t>
        </is>
      </c>
      <c r="C13" s="2" t="inlineStr">
        <is>
          <t xml:space="preserve">P0</t>
        </is>
      </c>
      <c r="D13" s="3" t="inlineStr">
        <is>
          <t xml:space="preserve">/forms</t>
        </is>
      </c>
      <c r="E13" s="3" t="inlineStr">
        <is>
          <t xml:space="preserve">Loads, shows content (not an empty shell or a stuck loader), no console error.</t>
        </is>
      </c>
      <c r="F13" s="2"/>
      <c r="G13" s="6" t="inlineStr">
        <is>
          <t xml:space="preserve">Not tested</t>
        </is>
      </c>
      <c r="H13" s="2"/>
      <c r="I13" s="2"/>
      <c r="J13" s="3"/>
    </row>
    <row r="14">
      <c r="A14" s="2" t="inlineStr">
        <is>
          <t xml:space="preserve">SMOKE-09</t>
        </is>
      </c>
      <c r="B14" s="2" t="inlineStr">
        <is>
          <t xml:space="preserve">Smoke — every route loads</t>
        </is>
      </c>
      <c r="C14" s="2" t="inlineStr">
        <is>
          <t xml:space="preserve">P0</t>
        </is>
      </c>
      <c r="D14" s="3" t="inlineStr">
        <is>
          <t xml:space="preserve">/analytics</t>
        </is>
      </c>
      <c r="E14" s="3" t="inlineStr">
        <is>
          <t xml:space="preserve">Loads, shows content (not an empty shell or a stuck loader), no console error.</t>
        </is>
      </c>
      <c r="F14" s="2"/>
      <c r="G14" s="6" t="inlineStr">
        <is>
          <t xml:space="preserve">Not tested</t>
        </is>
      </c>
      <c r="H14" s="2"/>
      <c r="I14" s="2"/>
      <c r="J14" s="3"/>
    </row>
    <row r="15">
      <c r="A15" s="2" t="inlineStr">
        <is>
          <t xml:space="preserve">SMOKE-10</t>
        </is>
      </c>
      <c r="B15" s="2" t="inlineStr">
        <is>
          <t xml:space="preserve">Smoke — every route loads</t>
        </is>
      </c>
      <c r="C15" s="2" t="inlineStr">
        <is>
          <t xml:space="preserve">P0</t>
        </is>
      </c>
      <c r="D15" s="3" t="inlineStr">
        <is>
          <t xml:space="preserve">/crm</t>
        </is>
      </c>
      <c r="E15" s="3" t="inlineStr">
        <is>
          <t xml:space="preserve">Loads, shows content (not an empty shell or a stuck loader), no console error.</t>
        </is>
      </c>
      <c r="F15" s="2"/>
      <c r="G15" s="6" t="inlineStr">
        <is>
          <t xml:space="preserve">Not tested</t>
        </is>
      </c>
      <c r="H15" s="2"/>
      <c r="I15" s="2"/>
      <c r="J15" s="3"/>
    </row>
    <row r="16">
      <c r="A16" s="2" t="inlineStr">
        <is>
          <t xml:space="preserve">SMOKE-11</t>
        </is>
      </c>
      <c r="B16" s="2" t="inlineStr">
        <is>
          <t xml:space="preserve">Smoke — every route loads</t>
        </is>
      </c>
      <c r="C16" s="2" t="inlineStr">
        <is>
          <t xml:space="preserve">P0</t>
        </is>
      </c>
      <c r="D16" s="3" t="inlineStr">
        <is>
          <t xml:space="preserve">/proposals</t>
        </is>
      </c>
      <c r="E16" s="3" t="inlineStr">
        <is>
          <t xml:space="preserve">Loads, shows content (not an empty shell or a stuck loader), no console error.</t>
        </is>
      </c>
      <c r="F16" s="2"/>
      <c r="G16" s="6" t="inlineStr">
        <is>
          <t xml:space="preserve">Not tested</t>
        </is>
      </c>
      <c r="H16" s="2"/>
      <c r="I16" s="2"/>
      <c r="J16" s="3"/>
    </row>
    <row r="17">
      <c r="A17" s="2" t="inlineStr">
        <is>
          <t xml:space="preserve">SMOKE-12</t>
        </is>
      </c>
      <c r="B17" s="2" t="inlineStr">
        <is>
          <t xml:space="preserve">Smoke — every route loads</t>
        </is>
      </c>
      <c r="C17" s="2" t="inlineStr">
        <is>
          <t xml:space="preserve">P0</t>
        </is>
      </c>
      <c r="D17" s="3" t="inlineStr">
        <is>
          <t xml:space="preserve">/underwriter</t>
        </is>
      </c>
      <c r="E17" s="3" t="inlineStr">
        <is>
          <t xml:space="preserve">Loads, shows content (not an empty shell or a stuck loader), no console error.</t>
        </is>
      </c>
      <c r="F17" s="2"/>
      <c r="G17" s="6" t="inlineStr">
        <is>
          <t xml:space="preserve">Not tested</t>
        </is>
      </c>
      <c r="H17" s="2"/>
      <c r="I17" s="2"/>
      <c r="J17" s="3"/>
    </row>
    <row r="18">
      <c r="A18" s="2" t="inlineStr">
        <is>
          <t xml:space="preserve">SMOKE-13</t>
        </is>
      </c>
      <c r="B18" s="2" t="inlineStr">
        <is>
          <t xml:space="preserve">Smoke — every route loads</t>
        </is>
      </c>
      <c r="C18" s="2" t="inlineStr">
        <is>
          <t xml:space="preserve">P0</t>
        </is>
      </c>
      <c r="D18" s="3" t="inlineStr">
        <is>
          <t xml:space="preserve">/finance</t>
        </is>
      </c>
      <c r="E18" s="3" t="inlineStr">
        <is>
          <t xml:space="preserve">Loads, shows content (not an empty shell or a stuck loader), no console error.</t>
        </is>
      </c>
      <c r="F18" s="2"/>
      <c r="G18" s="6" t="inlineStr">
        <is>
          <t xml:space="preserve">Not tested</t>
        </is>
      </c>
      <c r="H18" s="2"/>
      <c r="I18" s="2"/>
      <c r="J18" s="3"/>
    </row>
    <row r="19">
      <c r="A19" s="2" t="inlineStr">
        <is>
          <t xml:space="preserve">SMOKE-14</t>
        </is>
      </c>
      <c r="B19" s="2" t="inlineStr">
        <is>
          <t xml:space="preserve">Smoke — every route loads</t>
        </is>
      </c>
      <c r="C19" s="2" t="inlineStr">
        <is>
          <t xml:space="preserve">P0</t>
        </is>
      </c>
      <c r="D19" s="3" t="inlineStr">
        <is>
          <t xml:space="preserve">/messages</t>
        </is>
      </c>
      <c r="E19" s="3" t="inlineStr">
        <is>
          <t xml:space="preserve">Loads, shows content (not an empty shell or a stuck loader), no console error.</t>
        </is>
      </c>
      <c r="F19" s="2"/>
      <c r="G19" s="6" t="inlineStr">
        <is>
          <t xml:space="preserve">Not tested</t>
        </is>
      </c>
      <c r="H19" s="2"/>
      <c r="I19" s="2"/>
      <c r="J19" s="3"/>
    </row>
    <row r="20">
      <c r="A20" s="2" t="inlineStr">
        <is>
          <t xml:space="preserve">SMOKE-15</t>
        </is>
      </c>
      <c r="B20" s="2" t="inlineStr">
        <is>
          <t xml:space="preserve">Smoke — every route loads</t>
        </is>
      </c>
      <c r="C20" s="2" t="inlineStr">
        <is>
          <t xml:space="preserve">P0</t>
        </is>
      </c>
      <c r="D20" s="3" t="inlineStr">
        <is>
          <t xml:space="preserve">/calendar</t>
        </is>
      </c>
      <c r="E20" s="3" t="inlineStr">
        <is>
          <t xml:space="preserve">Loads, shows content (not an empty shell or a stuck loader), no console error.</t>
        </is>
      </c>
      <c r="F20" s="2"/>
      <c r="G20" s="6" t="inlineStr">
        <is>
          <t xml:space="preserve">Not tested</t>
        </is>
      </c>
      <c r="H20" s="2"/>
      <c r="I20" s="2"/>
      <c r="J20" s="3"/>
    </row>
    <row r="21">
      <c r="A21" s="2" t="inlineStr">
        <is>
          <t xml:space="preserve">SMOKE-16</t>
        </is>
      </c>
      <c r="B21" s="2" t="inlineStr">
        <is>
          <t xml:space="preserve">Smoke — every route loads</t>
        </is>
      </c>
      <c r="C21" s="2" t="inlineStr">
        <is>
          <t xml:space="preserve">P0</t>
        </is>
      </c>
      <c r="D21" s="3" t="inlineStr">
        <is>
          <t xml:space="preserve">/users</t>
        </is>
      </c>
      <c r="E21" s="3" t="inlineStr">
        <is>
          <t xml:space="preserve">Loads, shows content (not an empty shell or a stuck loader), no console error.</t>
        </is>
      </c>
      <c r="F21" s="2"/>
      <c r="G21" s="6" t="inlineStr">
        <is>
          <t xml:space="preserve">Not tested</t>
        </is>
      </c>
      <c r="H21" s="2"/>
      <c r="I21" s="2"/>
      <c r="J21" s="3"/>
    </row>
    <row r="22">
      <c r="A22" s="2" t="inlineStr">
        <is>
          <t xml:space="preserve">SMOKE-17</t>
        </is>
      </c>
      <c r="B22" s="2" t="inlineStr">
        <is>
          <t xml:space="preserve">Smoke — every route loads</t>
        </is>
      </c>
      <c r="C22" s="2" t="inlineStr">
        <is>
          <t xml:space="preserve">P0</t>
        </is>
      </c>
      <c r="D22" s="3" t="inlineStr">
        <is>
          <t xml:space="preserve">/settings</t>
        </is>
      </c>
      <c r="E22" s="3" t="inlineStr">
        <is>
          <t xml:space="preserve">Loads, shows content (not an empty shell or a stuck loader), no console error.</t>
        </is>
      </c>
      <c r="F22" s="2"/>
      <c r="G22" s="6" t="inlineStr">
        <is>
          <t xml:space="preserve">Not tested</t>
        </is>
      </c>
      <c r="H22" s="2"/>
      <c r="I22" s="2"/>
      <c r="J22" s="3"/>
    </row>
    <row r="23">
      <c r="A23" s="2" t="inlineStr">
        <is>
          <t xml:space="preserve">SMOKE-18</t>
        </is>
      </c>
      <c r="B23" s="2" t="inlineStr">
        <is>
          <t xml:space="preserve">Smoke — every route loads</t>
        </is>
      </c>
      <c r="C23" s="2" t="inlineStr">
        <is>
          <t xml:space="preserve">P0</t>
        </is>
      </c>
      <c r="D23" s="3" t="inlineStr">
        <is>
          <t xml:space="preserve">/time</t>
        </is>
      </c>
      <c r="E23" s="3" t="inlineStr">
        <is>
          <t xml:space="preserve">Loads, shows content (not an empty shell or a stuck loader), no console error.</t>
        </is>
      </c>
      <c r="F23" s="2"/>
      <c r="G23" s="6" t="inlineStr">
        <is>
          <t xml:space="preserve">Not tested</t>
        </is>
      </c>
      <c r="H23" s="2"/>
      <c r="I23" s="2"/>
      <c r="J23" s="3"/>
    </row>
    <row r="24">
      <c r="A24" s="2" t="inlineStr">
        <is>
          <t xml:space="preserve">SMOKE-19</t>
        </is>
      </c>
      <c r="B24" s="2" t="inlineStr">
        <is>
          <t xml:space="preserve">Smoke — every route loads</t>
        </is>
      </c>
      <c r="C24" s="2" t="inlineStr">
        <is>
          <t xml:space="preserve">P0</t>
        </is>
      </c>
      <c r="D24" s="3" t="inlineStr">
        <is>
          <t xml:space="preserve">/approvals</t>
        </is>
      </c>
      <c r="E24" s="3" t="inlineStr">
        <is>
          <t xml:space="preserve">Loads, shows content (not an empty shell or a stuck loader), no console error.</t>
        </is>
      </c>
      <c r="F24" s="2"/>
      <c r="G24" s="6" t="inlineStr">
        <is>
          <t xml:space="preserve">Not tested</t>
        </is>
      </c>
      <c r="H24" s="2"/>
      <c r="I24" s="2"/>
      <c r="J24" s="3"/>
    </row>
    <row r="25">
      <c r="A25" s="2" t="inlineStr">
        <is>
          <t xml:space="preserve">SMOKE-20</t>
        </is>
      </c>
      <c r="B25" s="2" t="inlineStr">
        <is>
          <t xml:space="preserve">Smoke — every route loads</t>
        </is>
      </c>
      <c r="C25" s="2" t="inlineStr">
        <is>
          <t xml:space="preserve">P0</t>
        </is>
      </c>
      <c r="D25" s="3" t="inlineStr">
        <is>
          <t xml:space="preserve">/clock</t>
        </is>
      </c>
      <c r="E25" s="3" t="inlineStr">
        <is>
          <t xml:space="preserve">Loads, shows content (not an empty shell or a stuck loader), no console error.</t>
        </is>
      </c>
      <c r="F25" s="2"/>
      <c r="G25" s="6" t="inlineStr">
        <is>
          <t xml:space="preserve">Not tested</t>
        </is>
      </c>
      <c r="H25" s="2"/>
      <c r="I25" s="2"/>
      <c r="J25" s="3"/>
    </row>
    <row r="26">
      <c r="A26" s="2" t="inlineStr">
        <is>
          <t xml:space="preserve">SMOKE-21</t>
        </is>
      </c>
      <c r="B26" s="2" t="inlineStr">
        <is>
          <t xml:space="preserve">Smoke — every route loads</t>
        </is>
      </c>
      <c r="C26" s="2" t="inlineStr">
        <is>
          <t xml:space="preserve">P0</t>
        </is>
      </c>
      <c r="D26" s="3" t="inlineStr">
        <is>
          <t xml:space="preserve">/team-chart</t>
        </is>
      </c>
      <c r="E26" s="3" t="inlineStr">
        <is>
          <t xml:space="preserve">Loads, shows content (not an empty shell or a stuck loader), no console error.</t>
        </is>
      </c>
      <c r="F26" s="2"/>
      <c r="G26" s="6" t="inlineStr">
        <is>
          <t xml:space="preserve">Not tested</t>
        </is>
      </c>
      <c r="H26" s="2"/>
      <c r="I26" s="2"/>
      <c r="J26" s="3"/>
    </row>
    <row r="27">
      <c r="A27" s="2" t="inlineStr">
        <is>
          <t xml:space="preserve">NEW-01</t>
        </is>
      </c>
      <c r="B27" s="2" t="inlineStr">
        <is>
          <t xml:space="preserve">Shipped in the last two days</t>
        </is>
      </c>
      <c r="C27" s="2" t="inlineStr">
        <is>
          <t xml:space="preserve">P1</t>
        </is>
      </c>
      <c r="D27" s="3" t="inlineStr">
        <is>
          <t xml:space="preserve">Job saves with no client</t>
        </is>
      </c>
      <c r="E27" s="3" t="inlineStr">
        <is>
          <t xml:space="preserve">Add job → fill only the name → Save. Expect: it saves. This failed on a foreign key before; if it errors again, stop and report immediately.</t>
        </is>
      </c>
      <c r="F27" s="2" t="inlineStr">
        <is>
          <t xml:space="preserve">critical, new, was broken</t>
        </is>
      </c>
      <c r="G27" s="6" t="inlineStr">
        <is>
          <t xml:space="preserve">Not tested</t>
        </is>
      </c>
      <c r="H27" s="2"/>
      <c r="I27" s="2"/>
      <c r="J27" s="3"/>
    </row>
    <row r="28">
      <c r="A28" s="2" t="inlineStr">
        <is>
          <t xml:space="preserve">NEW-02</t>
        </is>
      </c>
      <c r="B28" s="2" t="inlineStr">
        <is>
          <t xml:space="preserve">Shipped in the last two days</t>
        </is>
      </c>
      <c r="C28" s="2" t="inlineStr">
        <is>
          <t xml:space="preserve">P1</t>
        </is>
      </c>
      <c r="D28" s="3" t="inlineStr">
        <is>
          <t xml:space="preserve">Clear activity log — wrong password refused</t>
        </is>
      </c>
      <c r="E28" s="3" t="inlineStr">
        <is>
          <t xml:space="preserve">Configure workspace → Clear log → enter a wrong password → Clear. Expect: "Incorrect password", log untouched.</t>
        </is>
      </c>
      <c r="F28" s="2" t="inlineStr">
        <is>
          <t xml:space="preserve">critical, new, destructive</t>
        </is>
      </c>
      <c r="G28" s="6" t="inlineStr">
        <is>
          <t xml:space="preserve">Not tested</t>
        </is>
      </c>
      <c r="H28" s="2"/>
      <c r="I28" s="2"/>
      <c r="J28" s="3"/>
    </row>
    <row r="29">
      <c r="A29" s="2" t="inlineStr">
        <is>
          <t xml:space="preserve">NEW-03</t>
        </is>
      </c>
      <c r="B29" s="2" t="inlineStr">
        <is>
          <t xml:space="preserve">Shipped in the last two days</t>
        </is>
      </c>
      <c r="C29" s="2" t="inlineStr">
        <is>
          <t xml:space="preserve">P1</t>
        </is>
      </c>
      <c r="D29" s="3" t="inlineStr">
        <is>
          <t xml:space="preserve">Clear activity log — correct password works</t>
        </is>
      </c>
      <c r="E29" s="3" t="inlineStr">
        <is>
          <t xml:space="preserve">Repeat with the right password. Expect: log cleared, exactly one entry left saying who cleared it and how many went.</t>
        </is>
      </c>
      <c r="F29" s="2" t="inlineStr">
        <is>
          <t xml:space="preserve">critical, new, destructive</t>
        </is>
      </c>
      <c r="G29" s="6" t="inlineStr">
        <is>
          <t xml:space="preserve">Not tested</t>
        </is>
      </c>
      <c r="H29" s="2"/>
      <c r="I29" s="2"/>
      <c r="J29" s="3"/>
    </row>
    <row r="30">
      <c r="A30" s="2" t="inlineStr">
        <is>
          <t xml:space="preserve">NEW-04</t>
        </is>
      </c>
      <c r="B30" s="2" t="inlineStr">
        <is>
          <t xml:space="preserve">Shipped in the last two days</t>
        </is>
      </c>
      <c r="C30" s="2" t="inlineStr">
        <is>
          <t xml:space="preserve">P1</t>
        </is>
      </c>
      <c r="D30" s="3" t="inlineStr">
        <is>
          <t xml:space="preserve">Clearing the log leaves the feed alone</t>
        </is>
      </c>
      <c r="E30" s="3" t="inlineStr">
        <is>
          <t xml:space="preserve">After clearing, check the workspace Activity feed. Expect: posts, files and links are all still there. Only the action log is cleared.</t>
        </is>
      </c>
      <c r="F30" s="2"/>
      <c r="G30" s="6" t="inlineStr">
        <is>
          <t xml:space="preserve">Not tested</t>
        </is>
      </c>
      <c r="H30" s="2"/>
      <c r="I30" s="2"/>
      <c r="J30" s="3"/>
    </row>
    <row r="31">
      <c r="A31" s="2" t="inlineStr">
        <is>
          <t xml:space="preserve">NEW-05</t>
        </is>
      </c>
      <c r="B31" s="2" t="inlineStr">
        <is>
          <t xml:space="preserve">Shipped in the last two days</t>
        </is>
      </c>
      <c r="C31" s="2" t="inlineStr">
        <is>
          <t xml:space="preserve">P1</t>
        </is>
      </c>
      <c r="D31" s="3" t="inlineStr">
        <is>
          <t xml:space="preserve">The password field is typeable</t>
        </is>
      </c>
      <c r="E31" s="3" t="inlineStr">
        <is>
          <t xml:space="preserve">Click into the password box and type. Expect: characters appear in it. Previously keystrokes were stolen by the command palette.</t>
        </is>
      </c>
      <c r="F31" s="2" t="inlineStr">
        <is>
          <t xml:space="preserve">was broken</t>
        </is>
      </c>
      <c r="G31" s="6" t="inlineStr">
        <is>
          <t xml:space="preserve">Not tested</t>
        </is>
      </c>
      <c r="H31" s="2"/>
      <c r="I31" s="2"/>
      <c r="J31" s="3"/>
    </row>
    <row r="32">
      <c r="A32" s="2" t="inlineStr">
        <is>
          <t xml:space="preserve">NEW-06</t>
        </is>
      </c>
      <c r="B32" s="2" t="inlineStr">
        <is>
          <t xml:space="preserve">Shipped in the last two days</t>
        </is>
      </c>
      <c r="C32" s="2" t="inlineStr">
        <is>
          <t xml:space="preserve">P1</t>
        </is>
      </c>
      <c r="D32" s="3" t="inlineStr">
        <is>
          <t xml:space="preserve">Configure workspace header</t>
        </is>
      </c>
      <c r="E32" s="3" t="inlineStr">
        <is>
          <t xml:space="preserve">Expect: Clear log, Save workspace and Close along the top; no Cancel button at the bottom.</t>
        </is>
      </c>
      <c r="F32" s="2" t="inlineStr">
        <is>
          <t xml:space="preserve">new</t>
        </is>
      </c>
      <c r="G32" s="6" t="inlineStr">
        <is>
          <t xml:space="preserve">Not tested</t>
        </is>
      </c>
      <c r="H32" s="2"/>
      <c r="I32" s="2"/>
      <c r="J32" s="3"/>
    </row>
    <row r="33">
      <c r="A33" s="2" t="inlineStr">
        <is>
          <t xml:space="preserve">NEW-07</t>
        </is>
      </c>
      <c r="B33" s="2" t="inlineStr">
        <is>
          <t xml:space="preserve">Shipped in the last two days</t>
        </is>
      </c>
      <c r="C33" s="2" t="inlineStr">
        <is>
          <t xml:space="preserve">P1</t>
        </is>
      </c>
      <c r="D33" s="3" t="inlineStr">
        <is>
          <t xml:space="preserve">Enter still saves</t>
        </is>
      </c>
      <c r="E33" s="3" t="inlineStr">
        <is>
          <t xml:space="preserve">In Configure workspace, put the cursor in the name field and press Enter. Expect: it saves, same as clicking Save.</t>
        </is>
      </c>
      <c r="F33" s="2"/>
      <c r="G33" s="6" t="inlineStr">
        <is>
          <t xml:space="preserve">Not tested</t>
        </is>
      </c>
      <c r="H33" s="2"/>
      <c r="I33" s="2"/>
      <c r="J33" s="3"/>
    </row>
    <row r="34">
      <c r="A34" s="2" t="inlineStr">
        <is>
          <t xml:space="preserve">NEW-08</t>
        </is>
      </c>
      <c r="B34" s="2" t="inlineStr">
        <is>
          <t xml:space="preserve">Shipped in the last two days</t>
        </is>
      </c>
      <c r="C34" s="2" t="inlineStr">
        <is>
          <t xml:space="preserve">P1</t>
        </is>
      </c>
      <c r="D34" s="3" t="inlineStr">
        <is>
          <t xml:space="preserve">Saving a workspace stays put</t>
        </is>
      </c>
      <c r="E34" s="3" t="inlineStr">
        <is>
          <t xml:space="preserve">Rename a workspace from the sidebar gear while on the Activity page. Expect: you stay on Activity. It used to throw you to Settings.</t>
        </is>
      </c>
      <c r="F34" s="2" t="inlineStr">
        <is>
          <t xml:space="preserve">was broken</t>
        </is>
      </c>
      <c r="G34" s="6" t="inlineStr">
        <is>
          <t xml:space="preserve">Not tested</t>
        </is>
      </c>
      <c r="H34" s="2"/>
      <c r="I34" s="2"/>
      <c r="J34" s="3"/>
    </row>
    <row r="35">
      <c r="A35" s="2" t="inlineStr">
        <is>
          <t xml:space="preserve">NEW-09</t>
        </is>
      </c>
      <c r="B35" s="2" t="inlineStr">
        <is>
          <t xml:space="preserve">Shipped in the last two days</t>
        </is>
      </c>
      <c r="C35" s="2" t="inlineStr">
        <is>
          <t xml:space="preserve">P1</t>
        </is>
      </c>
      <c r="D35" s="3" t="inlineStr">
        <is>
          <t xml:space="preserve">Activity log shows date and time</t>
        </is>
      </c>
      <c r="E35" s="3" t="inlineStr">
        <is>
          <t xml:space="preserve">Expect: each entry reads like "Aug 3, 2026 · 10:52 AM" followed by the relative time.</t>
        </is>
      </c>
      <c r="F35" s="2" t="inlineStr">
        <is>
          <t xml:space="preserve">new</t>
        </is>
      </c>
      <c r="G35" s="6" t="inlineStr">
        <is>
          <t xml:space="preserve">Not tested</t>
        </is>
      </c>
      <c r="H35" s="2"/>
      <c r="I35" s="2"/>
      <c r="J35" s="3"/>
    </row>
    <row r="36">
      <c r="A36" s="2" t="inlineStr">
        <is>
          <t xml:space="preserve">NEW-10</t>
        </is>
      </c>
      <c r="B36" s="2" t="inlineStr">
        <is>
          <t xml:space="preserve">Shipped in the last two days</t>
        </is>
      </c>
      <c r="C36" s="2" t="inlineStr">
        <is>
          <t xml:space="preserve">P1</t>
        </is>
      </c>
      <c r="D36" s="3" t="inlineStr">
        <is>
          <t xml:space="preserve">Select one job and delete it</t>
        </is>
      </c>
      <c r="E36" s="3" t="inlineStr">
        <is>
          <t xml:space="preserve">Jobs → List → tick one row → Delete 1. Expect: password prompt, then it goes to the Recycle Bin.</t>
        </is>
      </c>
      <c r="F36" s="2" t="inlineStr">
        <is>
          <t xml:space="preserve">critical, new, destructive</t>
        </is>
      </c>
      <c r="G36" s="6" t="inlineStr">
        <is>
          <t xml:space="preserve">Not tested</t>
        </is>
      </c>
      <c r="H36" s="2"/>
      <c r="I36" s="2"/>
      <c r="J36" s="3"/>
    </row>
    <row r="37">
      <c r="A37" s="2" t="inlineStr">
        <is>
          <t xml:space="preserve">NEW-11</t>
        </is>
      </c>
      <c r="B37" s="2" t="inlineStr">
        <is>
          <t xml:space="preserve">Shipped in the last two days</t>
        </is>
      </c>
      <c r="C37" s="2" t="inlineStr">
        <is>
          <t xml:space="preserve">P1</t>
        </is>
      </c>
      <c r="D37" s="3" t="inlineStr">
        <is>
          <t xml:space="preserve">Select several jobs and delete them</t>
        </is>
      </c>
      <c r="E37" s="3" t="inlineStr">
        <is>
          <t xml:space="preserve">Tick three → Delete 3. Expect: a progress bar counting "1 of 3", "2 of 3", then all three in the Recycle Bin.</t>
        </is>
      </c>
      <c r="F37" s="2" t="inlineStr">
        <is>
          <t xml:space="preserve">critical, new, destructive</t>
        </is>
      </c>
      <c r="G37" s="6" t="inlineStr">
        <is>
          <t xml:space="preserve">Not tested</t>
        </is>
      </c>
      <c r="H37" s="2"/>
      <c r="I37" s="2"/>
      <c r="J37" s="3"/>
    </row>
    <row r="38">
      <c r="A38" s="2" t="inlineStr">
        <is>
          <t xml:space="preserve">NEW-12</t>
        </is>
      </c>
      <c r="B38" s="2" t="inlineStr">
        <is>
          <t xml:space="preserve">Shipped in the last two days</t>
        </is>
      </c>
      <c r="C38" s="2" t="inlineStr">
        <is>
          <t xml:space="preserve">P1</t>
        </is>
      </c>
      <c r="D38" s="3" t="inlineStr">
        <is>
          <t xml:space="preserve">Deleted jobs restore</t>
        </is>
      </c>
      <c r="E38" s="3" t="inlineStr">
        <is>
          <t xml:space="preserve">Recycle Bin → restore them. Expect: they return to the Jobs list intact.</t>
        </is>
      </c>
      <c r="F38" s="2" t="inlineStr">
        <is>
          <t xml:space="preserve">critical</t>
        </is>
      </c>
      <c r="G38" s="6" t="inlineStr">
        <is>
          <t xml:space="preserve">Not tested</t>
        </is>
      </c>
      <c r="H38" s="2"/>
      <c r="I38" s="2"/>
      <c r="J38" s="3"/>
    </row>
    <row r="39">
      <c r="A39" s="2" t="inlineStr">
        <is>
          <t xml:space="preserve">NEW-13</t>
        </is>
      </c>
      <c r="B39" s="2" t="inlineStr">
        <is>
          <t xml:space="preserve">Shipped in the last two days</t>
        </is>
      </c>
      <c r="C39" s="2" t="inlineStr">
        <is>
          <t xml:space="preserve">P1</t>
        </is>
      </c>
      <c r="D39" s="3" t="inlineStr">
        <is>
          <t xml:space="preserve">Select-all respects the filter</t>
        </is>
      </c>
      <c r="E39" s="3" t="inlineStr">
        <is>
          <t xml:space="preserve">Filter the Jobs list, tick select-all, clear the filter. Expect: only the filtered rows are ticked.</t>
        </is>
      </c>
      <c r="F39" s="2"/>
      <c r="G39" s="6" t="inlineStr">
        <is>
          <t xml:space="preserve">Not tested</t>
        </is>
      </c>
      <c r="H39" s="2"/>
      <c r="I39" s="2"/>
      <c r="J39" s="3"/>
    </row>
    <row r="40">
      <c r="A40" s="2" t="inlineStr">
        <is>
          <t xml:space="preserve">NEW-14</t>
        </is>
      </c>
      <c r="B40" s="2" t="inlineStr">
        <is>
          <t xml:space="preserve">Shipped in the last two days</t>
        </is>
      </c>
      <c r="C40" s="2" t="inlineStr">
        <is>
          <t xml:space="preserve">P1</t>
        </is>
      </c>
      <c r="D40" s="3" t="inlineStr">
        <is>
          <t xml:space="preserve">Ticking a row does not open the job</t>
        </is>
      </c>
      <c r="E40" s="3" t="inlineStr">
        <is>
          <t xml:space="preserve">Click a row's checkbox. Expect: it ticks and you stay on the list.</t>
        </is>
      </c>
      <c r="F40" s="2"/>
      <c r="G40" s="6" t="inlineStr">
        <is>
          <t xml:space="preserve">Not tested</t>
        </is>
      </c>
      <c r="H40" s="2"/>
      <c r="I40" s="2"/>
      <c r="J40" s="3"/>
    </row>
    <row r="41">
      <c r="A41" s="2" t="inlineStr">
        <is>
          <t xml:space="preserve">NEW-15</t>
        </is>
      </c>
      <c r="B41" s="2" t="inlineStr">
        <is>
          <t xml:space="preserve">Shipped in the last two days</t>
        </is>
      </c>
      <c r="C41" s="2" t="inlineStr">
        <is>
          <t xml:space="preserve">P1</t>
        </is>
      </c>
      <c r="D41" s="3" t="inlineStr">
        <is>
          <t xml:space="preserve">Bulk delete is hidden from a limited role</t>
        </is>
      </c>
      <c r="E41" s="3" t="inlineStr">
        <is>
          <t xml:space="preserve">As the limited account, select jobs. Expect: no Delete button.</t>
        </is>
      </c>
      <c r="F41" s="2" t="inlineStr">
        <is>
          <t xml:space="preserve">critical, permissions</t>
        </is>
      </c>
      <c r="G41" s="6" t="inlineStr">
        <is>
          <t xml:space="preserve">Not tested</t>
        </is>
      </c>
      <c r="H41" s="2"/>
      <c r="I41" s="2"/>
      <c r="J41" s="3"/>
    </row>
    <row r="42">
      <c r="A42" s="2" t="inlineStr">
        <is>
          <t xml:space="preserve">NEW-16</t>
        </is>
      </c>
      <c r="B42" s="2" t="inlineStr">
        <is>
          <t xml:space="preserve">Shipped in the last two days</t>
        </is>
      </c>
      <c r="C42" s="2" t="inlineStr">
        <is>
          <t xml:space="preserve">P1</t>
        </is>
      </c>
      <c r="D42" s="3" t="inlineStr">
        <is>
          <t xml:space="preserve">Only one scrollbar</t>
        </is>
      </c>
      <c r="E42" s="3" t="inlineStr">
        <is>
          <t xml:space="preserve">On the dashboard and workspaces pages. Expect: one scrollbar on the content, none on the window.</t>
        </is>
      </c>
      <c r="F42" s="2" t="inlineStr">
        <is>
          <t xml:space="preserve">was broken</t>
        </is>
      </c>
      <c r="G42" s="6" t="inlineStr">
        <is>
          <t xml:space="preserve">Not tested</t>
        </is>
      </c>
      <c r="H42" s="2"/>
      <c r="I42" s="2"/>
      <c r="J42" s="3"/>
    </row>
    <row r="43">
      <c r="A43" s="2" t="inlineStr">
        <is>
          <t xml:space="preserve">NEW-17</t>
        </is>
      </c>
      <c r="B43" s="2" t="inlineStr">
        <is>
          <t xml:space="preserve">Shipped in the last two days</t>
        </is>
      </c>
      <c r="C43" s="2" t="inlineStr">
        <is>
          <t xml:space="preserve">P1</t>
        </is>
      </c>
      <c r="D43" s="3" t="inlineStr">
        <is>
          <t xml:space="preserve">App strip drag</t>
        </is>
      </c>
      <c r="E43" s="3" t="inlineStr">
        <is>
          <t xml:space="preserve">Workspaces → hold left button on the app strip and drag. Expect: it pans and glides to a stop; a click still opens an app.</t>
        </is>
      </c>
      <c r="F43" s="2"/>
      <c r="G43" s="6" t="inlineStr">
        <is>
          <t xml:space="preserve">Not tested</t>
        </is>
      </c>
      <c r="H43" s="2"/>
      <c r="I43" s="2"/>
      <c r="J43" s="3"/>
    </row>
    <row r="44">
      <c r="A44" s="2" t="inlineStr">
        <is>
          <t xml:space="preserve">NEW-18</t>
        </is>
      </c>
      <c r="B44" s="2" t="inlineStr">
        <is>
          <t xml:space="preserve">Shipped in the last two days</t>
        </is>
      </c>
      <c r="C44" s="2" t="inlineStr">
        <is>
          <t xml:space="preserve">P1</t>
        </is>
      </c>
      <c r="D44" s="3" t="inlineStr">
        <is>
          <t xml:space="preserve">App strip keeps its place</t>
        </is>
      </c>
      <c r="E44" s="3" t="inlineStr">
        <is>
          <t xml:space="preserve">Scroll the app strip sideways, then click an app. Expect: the strip stays where you left it.</t>
        </is>
      </c>
      <c r="F44" s="2"/>
      <c r="G44" s="6" t="inlineStr">
        <is>
          <t xml:space="preserve">Not tested</t>
        </is>
      </c>
      <c r="H44" s="2"/>
      <c r="I44" s="2"/>
      <c r="J44" s="3"/>
    </row>
    <row r="45">
      <c r="A45" s="2" t="inlineStr">
        <is>
          <t xml:space="preserve">NEW-19</t>
        </is>
      </c>
      <c r="B45" s="2" t="inlineStr">
        <is>
          <t xml:space="preserve">Shipped in the last two days</t>
        </is>
      </c>
      <c r="C45" s="2" t="inlineStr">
        <is>
          <t xml:space="preserve">P1</t>
        </is>
      </c>
      <c r="D45" s="3" t="inlineStr">
        <is>
          <t xml:space="preserve">Command palette over a dialog</t>
        </is>
      </c>
      <c r="E45" s="3" t="inlineStr">
        <is>
          <t xml:space="preserve">Open any dialog, press Ctrl+K. Expect: the palette does not open over it.</t>
        </is>
      </c>
      <c r="F45" s="2" t="inlineStr">
        <is>
          <t xml:space="preserve">was broken</t>
        </is>
      </c>
      <c r="G45" s="6" t="inlineStr">
        <is>
          <t xml:space="preserve">Not tested</t>
        </is>
      </c>
      <c r="H45" s="2"/>
      <c r="I45" s="2"/>
      <c r="J45" s="3"/>
    </row>
    <row r="46">
      <c r="A46" s="2" t="inlineStr">
        <is>
          <t xml:space="preserve">NEW-20</t>
        </is>
      </c>
      <c r="B46" s="2" t="inlineStr">
        <is>
          <t xml:space="preserve">Shipped in the last two days</t>
        </is>
      </c>
      <c r="C46" s="2" t="inlineStr">
        <is>
          <t xml:space="preserve">P1</t>
        </is>
      </c>
      <c r="D46" s="3" t="inlineStr">
        <is>
          <t xml:space="preserve">Sidebar themes and icon packs</t>
        </is>
      </c>
      <c r="E46" s="3" t="inlineStr">
        <is>
          <t xml:space="preserve">Settings → Appearance → try each sidebar theme and icon pack. Expect: icons all render (no blank squares), text stays readable on every theme.</t>
        </is>
      </c>
      <c r="F46" s="2" t="inlineStr">
        <is>
          <t xml:space="preserve">new</t>
        </is>
      </c>
      <c r="G46" s="6" t="inlineStr">
        <is>
          <t xml:space="preserve">Not tested</t>
        </is>
      </c>
      <c r="H46" s="2"/>
      <c r="I46" s="2"/>
      <c r="J46" s="3"/>
    </row>
    <row r="47">
      <c r="A47" s="2" t="inlineStr">
        <is>
          <t xml:space="preserve">NEW-21</t>
        </is>
      </c>
      <c r="B47" s="2" t="inlineStr">
        <is>
          <t xml:space="preserve">Shipped in the last two days</t>
        </is>
      </c>
      <c r="C47" s="2" t="inlineStr">
        <is>
          <t xml:space="preserve">P1</t>
        </is>
      </c>
      <c r="D47" s="3" t="inlineStr">
        <is>
          <t xml:space="preserve">Appearance is per-account</t>
        </is>
      </c>
      <c r="E47" s="3" t="inlineStr">
        <is>
          <t xml:space="preserve">Change your sidebar theme, then check the limited account. Expect: their appearance is unchanged.</t>
        </is>
      </c>
      <c r="F47" s="2"/>
      <c r="G47" s="6" t="inlineStr">
        <is>
          <t xml:space="preserve">Not tested</t>
        </is>
      </c>
      <c r="H47" s="2"/>
      <c r="I47" s="2"/>
      <c r="J47" s="3"/>
    </row>
    <row r="48">
      <c r="A48" s="2" t="inlineStr">
        <is>
          <t xml:space="preserve">DEL-01</t>
        </is>
      </c>
      <c r="B48" s="2" t="inlineStr">
        <is>
          <t xml:space="preserve">Destructive and password-gated</t>
        </is>
      </c>
      <c r="C48" s="2" t="inlineStr">
        <is>
          <t xml:space="preserve">P1</t>
        </is>
      </c>
      <c r="D48" s="3" t="inlineStr">
        <is>
          <t xml:space="preserve">Recycle-bin deletes across records</t>
        </is>
      </c>
      <c r="E48" s="3" t="inlineStr">
        <is>
          <t xml:space="preserve">Delete one of each: contact, job, quote, task, file, form, client portal, knowledge article. Expect: each confirms first, then appears in the Recycle Bin.</t>
        </is>
      </c>
      <c r="F48" s="2" t="inlineStr">
        <is>
          <t xml:space="preserve">critical</t>
        </is>
      </c>
      <c r="G48" s="6" t="inlineStr">
        <is>
          <t xml:space="preserve">Not tested</t>
        </is>
      </c>
      <c r="H48" s="2"/>
      <c r="I48" s="2"/>
      <c r="J48" s="3"/>
    </row>
    <row r="49">
      <c r="A49" s="2" t="inlineStr">
        <is>
          <t xml:space="preserve">DEL-02</t>
        </is>
      </c>
      <c r="B49" s="2" t="inlineStr">
        <is>
          <t xml:space="preserve">Destructive and password-gated</t>
        </is>
      </c>
      <c r="C49" s="2" t="inlineStr">
        <is>
          <t xml:space="preserve">P1</t>
        </is>
      </c>
      <c r="D49" s="3" t="inlineStr">
        <is>
          <t xml:space="preserve">Restore from the Recycle Bin</t>
        </is>
      </c>
      <c r="E49" s="3" t="inlineStr">
        <is>
          <t xml:space="preserve">Restore each one. Expect: the record comes back where it was, with its fields intact.</t>
        </is>
      </c>
      <c r="F49" s="2" t="inlineStr">
        <is>
          <t xml:space="preserve">critical</t>
        </is>
      </c>
      <c r="G49" s="6" t="inlineStr">
        <is>
          <t xml:space="preserve">Not tested</t>
        </is>
      </c>
      <c r="H49" s="2"/>
      <c r="I49" s="2"/>
      <c r="J49" s="3"/>
    </row>
    <row r="50">
      <c r="A50" s="2" t="inlineStr">
        <is>
          <t xml:space="preserve">DEL-03</t>
        </is>
      </c>
      <c r="B50" s="2" t="inlineStr">
        <is>
          <t xml:space="preserve">Destructive and password-gated</t>
        </is>
      </c>
      <c r="C50" s="2" t="inlineStr">
        <is>
          <t xml:space="preserve">P1</t>
        </is>
      </c>
      <c r="D50" s="3" t="inlineStr">
        <is>
          <t xml:space="preserve">Undo immediately after deleting</t>
        </is>
      </c>
      <c r="E50" s="3" t="inlineStr">
        <is>
          <t xml:space="preserve">Delete a record and use the undo on the toast. Expect: it comes straight back.</t>
        </is>
      </c>
      <c r="F50" s="2" t="inlineStr">
        <is>
          <t xml:space="preserve">undo-recycle-delete</t>
        </is>
      </c>
      <c r="G50" s="6" t="inlineStr">
        <is>
          <t xml:space="preserve">Not tested</t>
        </is>
      </c>
      <c r="H50" s="2"/>
      <c r="I50" s="2"/>
      <c r="J50" s="3"/>
    </row>
    <row r="51">
      <c r="A51" s="2" t="inlineStr">
        <is>
          <t xml:space="preserve">DEL-04</t>
        </is>
      </c>
      <c r="B51" s="2" t="inlineStr">
        <is>
          <t xml:space="preserve">Destructive and password-gated</t>
        </is>
      </c>
      <c r="C51" s="2" t="inlineStr">
        <is>
          <t xml:space="preserve">P1</t>
        </is>
      </c>
      <c r="D51" s="3" t="inlineStr">
        <is>
          <t xml:space="preserve">Permanent delete really is permanent</t>
        </is>
      </c>
      <c r="E51" s="3" t="inlineStr">
        <is>
          <t xml:space="preserve">Recycle Bin → permanently delete one item. Expect: a distinct, stronger confirmation, then it is gone for good.</t>
        </is>
      </c>
      <c r="F51" s="2" t="inlineStr">
        <is>
          <t xml:space="preserve">critical, destructive</t>
        </is>
      </c>
      <c r="G51" s="6" t="inlineStr">
        <is>
          <t xml:space="preserve">Not tested</t>
        </is>
      </c>
      <c r="H51" s="2"/>
      <c r="I51" s="2"/>
      <c r="J51" s="3"/>
    </row>
    <row r="52">
      <c r="A52" s="2" t="inlineStr">
        <is>
          <t xml:space="preserve">DEL-05</t>
        </is>
      </c>
      <c r="B52" s="2" t="inlineStr">
        <is>
          <t xml:space="preserve">Destructive and password-gated</t>
        </is>
      </c>
      <c r="C52" s="2" t="inlineStr">
        <is>
          <t xml:space="preserve">P1</t>
        </is>
      </c>
      <c r="D52" s="3" t="inlineStr">
        <is>
          <t xml:space="preserve">Empty expired items</t>
        </is>
      </c>
      <c r="E52" s="3" t="inlineStr">
        <is>
          <t xml:space="preserve">Expect: it confirms, and removes only expired items — not everything in the bin.</t>
        </is>
      </c>
      <c r="F52" s="2" t="inlineStr">
        <is>
          <t xml:space="preserve">critical, destructive</t>
        </is>
      </c>
      <c r="G52" s="6" t="inlineStr">
        <is>
          <t xml:space="preserve">Not tested</t>
        </is>
      </c>
      <c r="H52" s="2"/>
      <c r="I52" s="2"/>
      <c r="J52" s="3"/>
    </row>
    <row r="53">
      <c r="A53" s="2" t="inlineStr">
        <is>
          <t xml:space="preserve">DEL-06</t>
        </is>
      </c>
      <c r="B53" s="2" t="inlineStr">
        <is>
          <t xml:space="preserve">Destructive and password-gated</t>
        </is>
      </c>
      <c r="C53" s="2" t="inlineStr">
        <is>
          <t xml:space="preserve">P1</t>
        </is>
      </c>
      <c r="D53" s="3" t="inlineStr">
        <is>
          <t xml:space="preserve">Delete a company</t>
        </is>
      </c>
      <c r="E53" s="3" t="inlineStr">
        <is>
          <t xml:space="preserve">Owner only. Expect: a confirmation that names the company and requires deliberate confirmation. Do this on a throwaway company, never a real one.</t>
        </is>
      </c>
      <c r="F53" s="2" t="inlineStr">
        <is>
          <t xml:space="preserve">critical, destructive</t>
        </is>
      </c>
      <c r="G53" s="6" t="inlineStr">
        <is>
          <t xml:space="preserve">Not tested</t>
        </is>
      </c>
      <c r="H53" s="2"/>
      <c r="I53" s="2"/>
      <c r="J53" s="3"/>
    </row>
    <row r="54">
      <c r="A54" s="2" t="inlineStr">
        <is>
          <t xml:space="preserve">DEL-07</t>
        </is>
      </c>
      <c r="B54" s="2" t="inlineStr">
        <is>
          <t xml:space="preserve">Destructive and password-gated</t>
        </is>
      </c>
      <c r="C54" s="2" t="inlineStr">
        <is>
          <t xml:space="preserve">P1</t>
        </is>
      </c>
      <c r="D54" s="3" t="inlineStr">
        <is>
          <t xml:space="preserve">Revoke a client portal link</t>
        </is>
      </c>
      <c r="E54" s="3" t="inlineStr">
        <is>
          <t xml:space="preserve">Expect: the old public link stops working. Test the link in a private window before and after.</t>
        </is>
      </c>
      <c r="F54" s="2" t="inlineStr">
        <is>
          <t xml:space="preserve">critical, destructive</t>
        </is>
      </c>
      <c r="G54" s="6" t="inlineStr">
        <is>
          <t xml:space="preserve">Not tested</t>
        </is>
      </c>
      <c r="H54" s="2"/>
      <c r="I54" s="2"/>
      <c r="J54" s="3"/>
    </row>
    <row r="55">
      <c r="A55" s="2" t="inlineStr">
        <is>
          <t xml:space="preserve">DEL-08</t>
        </is>
      </c>
      <c r="B55" s="2" t="inlineStr">
        <is>
          <t xml:space="preserve">Destructive and password-gated</t>
        </is>
      </c>
      <c r="C55" s="2" t="inlineStr">
        <is>
          <t xml:space="preserve">P1</t>
        </is>
      </c>
      <c r="D55" s="3" t="inlineStr">
        <is>
          <t xml:space="preserve">Regenerate a client portal link</t>
        </is>
      </c>
      <c r="E55" s="3" t="inlineStr">
        <is>
          <t xml:space="preserve">Expect: a new link works and the old one does not.</t>
        </is>
      </c>
      <c r="F55" s="2"/>
      <c r="G55" s="6" t="inlineStr">
        <is>
          <t xml:space="preserve">Not tested</t>
        </is>
      </c>
      <c r="H55" s="2"/>
      <c r="I55" s="2"/>
      <c r="J55" s="3"/>
    </row>
    <row r="56">
      <c r="A56" s="2" t="inlineStr">
        <is>
          <t xml:space="preserve">DEL-09</t>
        </is>
      </c>
      <c r="B56" s="2" t="inlineStr">
        <is>
          <t xml:space="preserve">Destructive and password-gated</t>
        </is>
      </c>
      <c r="C56" s="2" t="inlineStr">
        <is>
          <t xml:space="preserve">P1</t>
        </is>
      </c>
      <c r="D56" s="3" t="inlineStr">
        <is>
          <t xml:space="preserve">Revoke an invite</t>
        </is>
      </c>
      <c r="E56" s="3" t="inlineStr">
        <is>
          <t xml:space="preserve">Expect: the invite code no longer lets anyone join.</t>
        </is>
      </c>
      <c r="F56" s="2"/>
      <c r="G56" s="6" t="inlineStr">
        <is>
          <t xml:space="preserve">Not tested</t>
        </is>
      </c>
      <c r="H56" s="2"/>
      <c r="I56" s="2"/>
      <c r="J56" s="3"/>
    </row>
    <row r="57">
      <c r="A57" s="2" t="inlineStr">
        <is>
          <t xml:space="preserve">DEL-10</t>
        </is>
      </c>
      <c r="B57" s="2" t="inlineStr">
        <is>
          <t xml:space="preserve">Destructive and password-gated</t>
        </is>
      </c>
      <c r="C57" s="2" t="inlineStr">
        <is>
          <t xml:space="preserve">P1</t>
        </is>
      </c>
      <c r="D57" s="3" t="inlineStr">
        <is>
          <t xml:space="preserve">Delete a role</t>
        </is>
      </c>
      <c r="E57" s="3" t="inlineStr">
        <is>
          <t xml:space="preserve">Expect: confirmation, and people holding that role are handled sensibly rather than left without access silently.</t>
        </is>
      </c>
      <c r="F57" s="2" t="inlineStr">
        <is>
          <t xml:space="preserve">critical</t>
        </is>
      </c>
      <c r="G57" s="6" t="inlineStr">
        <is>
          <t xml:space="preserve">Not tested</t>
        </is>
      </c>
      <c r="H57" s="2"/>
      <c r="I57" s="2"/>
      <c r="J57" s="3"/>
    </row>
    <row r="58">
      <c r="A58" s="2" t="inlineStr">
        <is>
          <t xml:space="preserve">DEL-11</t>
        </is>
      </c>
      <c r="B58" s="2" t="inlineStr">
        <is>
          <t xml:space="preserve">Destructive and password-gated</t>
        </is>
      </c>
      <c r="C58" s="2" t="inlineStr">
        <is>
          <t xml:space="preserve">P1</t>
        </is>
      </c>
      <c r="D58" s="3" t="inlineStr">
        <is>
          <t xml:space="preserve">Delete a pipeline stage that has records</t>
        </is>
      </c>
      <c r="E58" s="3" t="inlineStr">
        <is>
          <t xml:space="preserve">Expect: it says how many records are affected, and offers to move them or clear the stage. Records are kept either way.</t>
        </is>
      </c>
      <c r="F58" s="2" t="inlineStr">
        <is>
          <t xml:space="preserve">critical</t>
        </is>
      </c>
      <c r="G58" s="6" t="inlineStr">
        <is>
          <t xml:space="preserve">Not tested</t>
        </is>
      </c>
      <c r="H58" s="2"/>
      <c r="I58" s="2"/>
      <c r="J58" s="3"/>
    </row>
    <row r="59">
      <c r="A59" s="2" t="inlineStr">
        <is>
          <t xml:space="preserve">DEL-12</t>
        </is>
      </c>
      <c r="B59" s="2" t="inlineStr">
        <is>
          <t xml:space="preserve">Destructive and password-gated</t>
        </is>
      </c>
      <c r="C59" s="2" t="inlineStr">
        <is>
          <t xml:space="preserve">P1</t>
        </is>
      </c>
      <c r="D59" s="3" t="inlineStr">
        <is>
          <t xml:space="preserve">Reset dashboard layout</t>
        </is>
      </c>
      <c r="E59" s="3" t="inlineStr">
        <is>
          <t xml:space="preserve">Expect: confirmation, then default widgets return.</t>
        </is>
      </c>
      <c r="F59" s="2"/>
      <c r="G59" s="6" t="inlineStr">
        <is>
          <t xml:space="preserve">Not tested</t>
        </is>
      </c>
      <c r="H59" s="2"/>
      <c r="I59" s="2"/>
      <c r="J59" s="3"/>
    </row>
    <row r="60">
      <c r="A60" s="2" t="inlineStr">
        <is>
          <t xml:space="preserve">DEL-13</t>
        </is>
      </c>
      <c r="B60" s="2" t="inlineStr">
        <is>
          <t xml:space="preserve">Destructive and password-gated</t>
        </is>
      </c>
      <c r="C60" s="2" t="inlineStr">
        <is>
          <t xml:space="preserve">P1</t>
        </is>
      </c>
      <c r="D60" s="3" t="inlineStr">
        <is>
          <t xml:space="preserve">Reset appearance</t>
        </is>
      </c>
      <c r="E60" s="3" t="inlineStr">
        <is>
          <t xml:space="preserve">Expect: your own appearance returns to default and nobody else's changes.</t>
        </is>
      </c>
      <c r="F60" s="2"/>
      <c r="G60" s="6" t="inlineStr">
        <is>
          <t xml:space="preserve">Not tested</t>
        </is>
      </c>
      <c r="H60" s="2"/>
      <c r="I60" s="2"/>
      <c r="J60" s="3"/>
    </row>
    <row r="61">
      <c r="A61" s="2" t="inlineStr">
        <is>
          <t xml:space="preserve">DEL-14</t>
        </is>
      </c>
      <c r="B61" s="2" t="inlineStr">
        <is>
          <t xml:space="preserve">Destructive and password-gated</t>
        </is>
      </c>
      <c r="C61" s="2" t="inlineStr">
        <is>
          <t xml:space="preserve">P1</t>
        </is>
      </c>
      <c r="D61" s="3" t="inlineStr">
        <is>
          <t xml:space="preserve">Every destructive action as a limited role</t>
        </is>
      </c>
      <c r="E61" s="3" t="inlineStr">
        <is>
          <t xml:space="preserve">Repeat the deletes above as the limited account. Expect: refused or not offered — never a silent failure that looks like success.</t>
        </is>
      </c>
      <c r="F61" s="2" t="inlineStr">
        <is>
          <t xml:space="preserve">critical, permissions</t>
        </is>
      </c>
      <c r="G61" s="6" t="inlineStr">
        <is>
          <t xml:space="preserve">Not tested</t>
        </is>
      </c>
      <c r="H61" s="2"/>
      <c r="I61" s="2"/>
      <c r="J61" s="3"/>
    </row>
    <row r="62">
      <c r="A62" s="2" t="inlineStr">
        <is>
          <t xml:space="preserve">CRM-01</t>
        </is>
      </c>
      <c r="B62" s="2" t="inlineStr">
        <is>
          <t xml:space="preserve">Quest CRM</t>
        </is>
      </c>
      <c r="C62" s="2" t="inlineStr">
        <is>
          <t xml:space="preserve">Modules</t>
        </is>
      </c>
      <c r="D62" s="3" t="inlineStr">
        <is>
          <t xml:space="preserve">Contacts — full loop</t>
        </is>
      </c>
      <c r="E62" s="3" t="inlineStr">
        <is>
          <t xml:space="preserve">Create → edit → change stage → add a note and a task → delete. 33 actions live here, the largest surface in the app.</t>
        </is>
      </c>
      <c r="F62" s="2" t="inlineStr">
        <is>
          <t xml:space="preserve">33 actions</t>
        </is>
      </c>
      <c r="G62" s="6" t="inlineStr">
        <is>
          <t xml:space="preserve">Not tested</t>
        </is>
      </c>
      <c r="H62" s="2"/>
      <c r="I62" s="2"/>
      <c r="J62" s="3"/>
    </row>
    <row r="63">
      <c r="A63" s="2" t="inlineStr">
        <is>
          <t xml:space="preserve">CRM-02</t>
        </is>
      </c>
      <c r="B63" s="2" t="inlineStr">
        <is>
          <t xml:space="preserve">Quest CRM</t>
        </is>
      </c>
      <c r="C63" s="2" t="inlineStr">
        <is>
          <t xml:space="preserve">Modules</t>
        </is>
      </c>
      <c r="D63" s="3" t="inlineStr">
        <is>
          <t xml:space="preserve">Contacts — bulk and import</t>
        </is>
      </c>
      <c r="E63" s="3" t="inlineStr">
        <is>
          <t xml:space="preserve">Select several → label, campaign, email. Then import a small CSV and run dedupe.</t>
        </is>
      </c>
      <c r="F63" s="2"/>
      <c r="G63" s="6" t="inlineStr">
        <is>
          <t xml:space="preserve">Not tested</t>
        </is>
      </c>
      <c r="H63" s="2"/>
      <c r="I63" s="2"/>
      <c r="J63" s="3"/>
    </row>
    <row r="64">
      <c r="A64" s="2" t="inlineStr">
        <is>
          <t xml:space="preserve">CRM-03</t>
        </is>
      </c>
      <c r="B64" s="2" t="inlineStr">
        <is>
          <t xml:space="preserve">Quest CRM</t>
        </is>
      </c>
      <c r="C64" s="2" t="inlineStr">
        <is>
          <t xml:space="preserve">Modules</t>
        </is>
      </c>
      <c r="D64" s="3" t="inlineStr">
        <is>
          <t xml:space="preserve">Contacts — convert to quote</t>
        </is>
      </c>
      <c r="E64" s="3" t="inlineStr">
        <is>
          <t xml:space="preserve">Expect: the quote carries the contact's details across.</t>
        </is>
      </c>
      <c r="F64" s="2"/>
      <c r="G64" s="6" t="inlineStr">
        <is>
          <t xml:space="preserve">Not tested</t>
        </is>
      </c>
      <c r="H64" s="2"/>
      <c r="I64" s="2"/>
      <c r="J64" s="3"/>
    </row>
    <row r="65">
      <c r="A65" s="2" t="inlineStr">
        <is>
          <t xml:space="preserve">CRM-04</t>
        </is>
      </c>
      <c r="B65" s="2" t="inlineStr">
        <is>
          <t xml:space="preserve">Quest CRM</t>
        </is>
      </c>
      <c r="C65" s="2" t="inlineStr">
        <is>
          <t xml:space="preserve">Modules</t>
        </is>
      </c>
      <c r="D65" s="3" t="inlineStr">
        <is>
          <t xml:space="preserve">Jobs — full loop</t>
        </is>
      </c>
      <c r="E65" s="3" t="inlineStr">
        <is>
          <t xml:space="preserve">Create → edit → move stage on the board → open the record → add photos → delete.</t>
        </is>
      </c>
      <c r="F65" s="2" t="inlineStr">
        <is>
          <t xml:space="preserve">15 actions</t>
        </is>
      </c>
      <c r="G65" s="6" t="inlineStr">
        <is>
          <t xml:space="preserve">Not tested</t>
        </is>
      </c>
      <c r="H65" s="2"/>
      <c r="I65" s="2"/>
      <c r="J65" s="3"/>
    </row>
    <row r="66">
      <c r="A66" s="2" t="inlineStr">
        <is>
          <t xml:space="preserve">CRM-05</t>
        </is>
      </c>
      <c r="B66" s="2" t="inlineStr">
        <is>
          <t xml:space="preserve">Quest CRM</t>
        </is>
      </c>
      <c r="C66" s="2" t="inlineStr">
        <is>
          <t xml:space="preserve">Modules</t>
        </is>
      </c>
      <c r="D66" s="3" t="inlineStr">
        <is>
          <t xml:space="preserve">Jobs — board drag</t>
        </is>
      </c>
      <c r="E66" s="3" t="inlineStr">
        <is>
          <t xml:space="preserve">Drag a job between pipeline stages. Expect: the stage sticks after a refresh, and any stage automation fires.</t>
        </is>
      </c>
      <c r="F66" s="2"/>
      <c r="G66" s="6" t="inlineStr">
        <is>
          <t xml:space="preserve">Not tested</t>
        </is>
      </c>
      <c r="H66" s="2"/>
      <c r="I66" s="2"/>
      <c r="J66" s="3"/>
    </row>
    <row r="67">
      <c r="A67" s="2" t="inlineStr">
        <is>
          <t xml:space="preserve">CRM-06</t>
        </is>
      </c>
      <c r="B67" s="2" t="inlineStr">
        <is>
          <t xml:space="preserve">Quest CRM</t>
        </is>
      </c>
      <c r="C67" s="2" t="inlineStr">
        <is>
          <t xml:space="preserve">Modules</t>
        </is>
      </c>
      <c r="D67" s="3" t="inlineStr">
        <is>
          <t xml:space="preserve">Quotes — full loop</t>
        </is>
      </c>
      <c r="E67" s="3" t="inlineStr">
        <is>
          <t xml:space="preserve">Create → add and remove line items → change stage → convert to job.</t>
        </is>
      </c>
      <c r="F67" s="2" t="inlineStr">
        <is>
          <t xml:space="preserve">9 actions</t>
        </is>
      </c>
      <c r="G67" s="6" t="inlineStr">
        <is>
          <t xml:space="preserve">Not tested</t>
        </is>
      </c>
      <c r="H67" s="2"/>
      <c r="I67" s="2"/>
      <c r="J67" s="3"/>
    </row>
    <row r="68">
      <c r="A68" s="2" t="inlineStr">
        <is>
          <t xml:space="preserve">CRM-07</t>
        </is>
      </c>
      <c r="B68" s="2" t="inlineStr">
        <is>
          <t xml:space="preserve">Quest CRM</t>
        </is>
      </c>
      <c r="C68" s="2" t="inlineStr">
        <is>
          <t xml:space="preserve">Modules</t>
        </is>
      </c>
      <c r="D68" s="3" t="inlineStr">
        <is>
          <t xml:space="preserve">Proposals — build and share</t>
        </is>
      </c>
      <c r="E68" s="3" t="inlineStr">
        <is>
          <t xml:space="preserve">Open the builder → edit → copy the public link → open it in a private window → export.</t>
        </is>
      </c>
      <c r="F68" s="2" t="inlineStr">
        <is>
          <t xml:space="preserve">8 actions</t>
        </is>
      </c>
      <c r="G68" s="6" t="inlineStr">
        <is>
          <t xml:space="preserve">Not tested</t>
        </is>
      </c>
      <c r="H68" s="2"/>
      <c r="I68" s="2"/>
      <c r="J68" s="3"/>
    </row>
    <row r="69">
      <c r="A69" s="2" t="inlineStr">
        <is>
          <t xml:space="preserve">CRM-08</t>
        </is>
      </c>
      <c r="B69" s="2" t="inlineStr">
        <is>
          <t xml:space="preserve">Quest CRM</t>
        </is>
      </c>
      <c r="C69" s="2" t="inlineStr">
        <is>
          <t xml:space="preserve">Modules</t>
        </is>
      </c>
      <c r="D69" s="3" t="inlineStr">
        <is>
          <t xml:space="preserve">Workday</t>
        </is>
      </c>
      <c r="E69" s="3" t="inlineStr">
        <is>
          <t xml:space="preserve">Work through the next-step flow: open an item, complete it, skip one, use a quick action.</t>
        </is>
      </c>
      <c r="F69" s="2"/>
      <c r="G69" s="6" t="inlineStr">
        <is>
          <t xml:space="preserve">Not tested</t>
        </is>
      </c>
      <c r="H69" s="2"/>
      <c r="I69" s="2"/>
      <c r="J69" s="3"/>
    </row>
    <row r="70">
      <c r="A70" s="2" t="inlineStr">
        <is>
          <t xml:space="preserve">CRM-09</t>
        </is>
      </c>
      <c r="B70" s="2" t="inlineStr">
        <is>
          <t xml:space="preserve">Quest CRM</t>
        </is>
      </c>
      <c r="C70" s="2" t="inlineStr">
        <is>
          <t xml:space="preserve">Modules</t>
        </is>
      </c>
      <c r="D70" s="3" t="inlineStr">
        <is>
          <t xml:space="preserve">Record history</t>
        </is>
      </c>
      <c r="E70" s="3" t="inlineStr">
        <is>
          <t xml:space="preserve">Open History on a contact, job and quote. Expect: it loads against the right record and shows changes, or an honest empty state.</t>
        </is>
      </c>
      <c r="F70" s="2"/>
      <c r="G70" s="6" t="inlineStr">
        <is>
          <t xml:space="preserve">Not tested</t>
        </is>
      </c>
      <c r="H70" s="2"/>
      <c r="I70" s="2"/>
      <c r="J70" s="3"/>
    </row>
    <row r="71">
      <c r="A71" s="2" t="inlineStr">
        <is>
          <t xml:space="preserve">WS-01</t>
        </is>
      </c>
      <c r="B71" s="2" t="inlineStr">
        <is>
          <t xml:space="preserve">Workspace and App Builder</t>
        </is>
      </c>
      <c r="C71" s="2" t="inlineStr">
        <is>
          <t xml:space="preserve">Modules</t>
        </is>
      </c>
      <c r="D71" s="3" t="inlineStr">
        <is>
          <t xml:space="preserve">App Builder — create an app</t>
        </is>
      </c>
      <c r="E71" s="3" t="inlineStr">
        <is>
          <t xml:space="preserve">New app → add fields of several types → add records → edit → delete.</t>
        </is>
      </c>
      <c r="F71" s="2" t="inlineStr">
        <is>
          <t xml:space="preserve">36 actions</t>
        </is>
      </c>
      <c r="G71" s="6" t="inlineStr">
        <is>
          <t xml:space="preserve">Not tested</t>
        </is>
      </c>
      <c r="H71" s="2"/>
      <c r="I71" s="2"/>
      <c r="J71" s="3"/>
    </row>
    <row r="72">
      <c r="A72" s="2" t="inlineStr">
        <is>
          <t xml:space="preserve">WS-02</t>
        </is>
      </c>
      <c r="B72" s="2" t="inlineStr">
        <is>
          <t xml:space="preserve">Workspace and App Builder</t>
        </is>
      </c>
      <c r="C72" s="2" t="inlineStr">
        <is>
          <t xml:space="preserve">Modules</t>
        </is>
      </c>
      <c r="D72" s="3" t="inlineStr">
        <is>
          <t xml:space="preserve">Field types round-trip</t>
        </is>
      </c>
      <c r="E72" s="3" t="inlineStr">
        <is>
          <t xml:space="preserve">Add one of each field type, fill it, save, reopen. Expect: every value comes back exactly as entered.</t>
        </is>
      </c>
      <c r="F72" s="2" t="inlineStr">
        <is>
          <t xml:space="preserve">critical</t>
        </is>
      </c>
      <c r="G72" s="6" t="inlineStr">
        <is>
          <t xml:space="preserve">Not tested</t>
        </is>
      </c>
      <c r="H72" s="2"/>
      <c r="I72" s="2"/>
      <c r="J72" s="3"/>
    </row>
    <row r="73">
      <c r="A73" s="2" t="inlineStr">
        <is>
          <t xml:space="preserve">WS-03</t>
        </is>
      </c>
      <c r="B73" s="2" t="inlineStr">
        <is>
          <t xml:space="preserve">Workspace and App Builder</t>
        </is>
      </c>
      <c r="C73" s="2" t="inlineStr">
        <is>
          <t xml:space="preserve">Modules</t>
        </is>
      </c>
      <c r="D73" s="3" t="inlineStr">
        <is>
          <t xml:space="preserve">Pipeline stages</t>
        </is>
      </c>
      <c r="E73" s="3" t="inlineStr">
        <is>
          <t xml:space="preserve">Manage stages → add, rename, reorder, recolour, delete. Expect: board columns follow.</t>
        </is>
      </c>
      <c r="F73" s="2"/>
      <c r="G73" s="6" t="inlineStr">
        <is>
          <t xml:space="preserve">Not tested</t>
        </is>
      </c>
      <c r="H73" s="2"/>
      <c r="I73" s="2"/>
      <c r="J73" s="3"/>
    </row>
    <row r="74">
      <c r="A74" s="2" t="inlineStr">
        <is>
          <t xml:space="preserve">WS-04</t>
        </is>
      </c>
      <c r="B74" s="2" t="inlineStr">
        <is>
          <t xml:space="preserve">Workspace and App Builder</t>
        </is>
      </c>
      <c r="C74" s="2" t="inlineStr">
        <is>
          <t xml:space="preserve">Modules</t>
        </is>
      </c>
      <c r="D74" s="3" t="inlineStr">
        <is>
          <t xml:space="preserve">Board view</t>
        </is>
      </c>
      <c r="E74" s="3" t="inlineStr">
        <is>
          <t xml:space="preserve">Switch to board, drag records between columns. Expect: no jump back to the top after a drop.</t>
        </is>
      </c>
      <c r="F74" s="2" t="inlineStr">
        <is>
          <t xml:space="preserve">was broken</t>
        </is>
      </c>
      <c r="G74" s="6" t="inlineStr">
        <is>
          <t xml:space="preserve">Not tested</t>
        </is>
      </c>
      <c r="H74" s="2"/>
      <c r="I74" s="2"/>
      <c r="J74" s="3"/>
    </row>
    <row r="75">
      <c r="A75" s="2" t="inlineStr">
        <is>
          <t xml:space="preserve">WS-05</t>
        </is>
      </c>
      <c r="B75" s="2" t="inlineStr">
        <is>
          <t xml:space="preserve">Workspace and App Builder</t>
        </is>
      </c>
      <c r="C75" s="2" t="inlineStr">
        <is>
          <t xml:space="preserve">Modules</t>
        </is>
      </c>
      <c r="D75" s="3" t="inlineStr">
        <is>
          <t xml:space="preserve">Stage automations</t>
        </is>
      </c>
      <c r="E75" s="3" t="inlineStr">
        <is>
          <t xml:space="preserve">Create a rule on a stage change, trigger it. Expect: it fires once, on the change only — not on every save.</t>
        </is>
      </c>
      <c r="F75" s="2"/>
      <c r="G75" s="6" t="inlineStr">
        <is>
          <t xml:space="preserve">Not tested</t>
        </is>
      </c>
      <c r="H75" s="2"/>
      <c r="I75" s="2"/>
      <c r="J75" s="3"/>
    </row>
    <row r="76">
      <c r="A76" s="2" t="inlineStr">
        <is>
          <t xml:space="preserve">WS-06</t>
        </is>
      </c>
      <c r="B76" s="2" t="inlineStr">
        <is>
          <t xml:space="preserve">Workspace and App Builder</t>
        </is>
      </c>
      <c r="C76" s="2" t="inlineStr">
        <is>
          <t xml:space="preserve">Modules</t>
        </is>
      </c>
      <c r="D76" s="3" t="inlineStr">
        <is>
          <t xml:space="preserve">Cross-company app install</t>
        </is>
      </c>
      <c r="E76" s="3" t="inlineStr">
        <is>
          <t xml:space="preserve">Install an app into another company you own: pick company, pick workspace. Expect: it lands in the right place.</t>
        </is>
      </c>
      <c r="F76" s="2" t="inlineStr">
        <is>
          <t xml:space="preserve">new</t>
        </is>
      </c>
      <c r="G76" s="6" t="inlineStr">
        <is>
          <t xml:space="preserve">Not tested</t>
        </is>
      </c>
      <c r="H76" s="2"/>
      <c r="I76" s="2"/>
      <c r="J76" s="3"/>
    </row>
    <row r="77">
      <c r="A77" s="2" t="inlineStr">
        <is>
          <t xml:space="preserve">WS-07</t>
        </is>
      </c>
      <c r="B77" s="2" t="inlineStr">
        <is>
          <t xml:space="preserve">Workspace and App Builder</t>
        </is>
      </c>
      <c r="C77" s="2" t="inlineStr">
        <is>
          <t xml:space="preserve">Modules</t>
        </is>
      </c>
      <c r="D77" s="3" t="inlineStr">
        <is>
          <t xml:space="preserve">Import and export</t>
        </is>
      </c>
      <c r="E77" s="3" t="inlineStr">
        <is>
          <t xml:space="preserve">Export an app's records to CSV, print, then re-import. Expect: Download, Export, Import and Print all work.</t>
        </is>
      </c>
      <c r="F77" s="2" t="inlineStr">
        <is>
          <t xml:space="preserve">was broken</t>
        </is>
      </c>
      <c r="G77" s="6" t="inlineStr">
        <is>
          <t xml:space="preserve">Not tested</t>
        </is>
      </c>
      <c r="H77" s="2"/>
      <c r="I77" s="2"/>
      <c r="J77" s="3"/>
    </row>
    <row r="78">
      <c r="A78" s="2" t="inlineStr">
        <is>
          <t xml:space="preserve">WS-08</t>
        </is>
      </c>
      <c r="B78" s="2" t="inlineStr">
        <is>
          <t xml:space="preserve">Workspace and App Builder</t>
        </is>
      </c>
      <c r="C78" s="2" t="inlineStr">
        <is>
          <t xml:space="preserve">Modules</t>
        </is>
      </c>
      <c r="D78" s="3" t="inlineStr">
        <is>
          <t xml:space="preserve">Reports tab</t>
        </is>
      </c>
      <c r="E78" s="3" t="inlineStr">
        <is>
          <t xml:space="preserve">Expect: charts render with correct totals — and an empty app reports zero, not one.</t>
        </is>
      </c>
      <c r="F78" s="2"/>
      <c r="G78" s="6" t="inlineStr">
        <is>
          <t xml:space="preserve">Not tested</t>
        </is>
      </c>
      <c r="H78" s="2"/>
      <c r="I78" s="2"/>
      <c r="J78" s="3"/>
    </row>
    <row r="79">
      <c r="A79" s="2" t="inlineStr">
        <is>
          <t xml:space="preserve">WS-09</t>
        </is>
      </c>
      <c r="B79" s="2" t="inlineStr">
        <is>
          <t xml:space="preserve">Workspace and App Builder</t>
        </is>
      </c>
      <c r="C79" s="2" t="inlineStr">
        <is>
          <t xml:space="preserve">Modules</t>
        </is>
      </c>
      <c r="D79" s="3" t="inlineStr">
        <is>
          <t xml:space="preserve">Workspace backups</t>
        </is>
      </c>
      <c r="E79" s="3" t="inlineStr">
        <is>
          <t xml:space="preserve">Create a backup, download it, restore it. Expect: the restore returns the structure intact.</t>
        </is>
      </c>
      <c r="F79" s="2" t="inlineStr">
        <is>
          <t xml:space="preserve">critical</t>
        </is>
      </c>
      <c r="G79" s="6" t="inlineStr">
        <is>
          <t xml:space="preserve">Not tested</t>
        </is>
      </c>
      <c r="H79" s="2"/>
      <c r="I79" s="2"/>
      <c r="J79" s="3"/>
    </row>
    <row r="80">
      <c r="A80" s="2" t="inlineStr">
        <is>
          <t xml:space="preserve">WS-10</t>
        </is>
      </c>
      <c r="B80" s="2" t="inlineStr">
        <is>
          <t xml:space="preserve">Workspace and App Builder</t>
        </is>
      </c>
      <c r="C80" s="2" t="inlineStr">
        <is>
          <t xml:space="preserve">Modules</t>
        </is>
      </c>
      <c r="D80" s="3" t="inlineStr">
        <is>
          <t xml:space="preserve">Forms</t>
        </is>
      </c>
      <c r="E80" s="3" t="inlineStr">
        <is>
          <t xml:space="preserve">Build a form → add questions and options → preview → publish → submit it publicly → read the response → create a contact/task/job from it.</t>
        </is>
      </c>
      <c r="F80" s="2" t="inlineStr">
        <is>
          <t xml:space="preserve">40 actions</t>
        </is>
      </c>
      <c r="G80" s="6" t="inlineStr">
        <is>
          <t xml:space="preserve">Not tested</t>
        </is>
      </c>
      <c r="H80" s="2"/>
      <c r="I80" s="2"/>
      <c r="J80" s="3"/>
    </row>
    <row r="81">
      <c r="A81" s="2" t="inlineStr">
        <is>
          <t xml:space="preserve">WS-11</t>
        </is>
      </c>
      <c r="B81" s="2" t="inlineStr">
        <is>
          <t xml:space="preserve">Workspace and App Builder</t>
        </is>
      </c>
      <c r="C81" s="2" t="inlineStr">
        <is>
          <t xml:space="preserve">Modules</t>
        </is>
      </c>
      <c r="D81" s="3" t="inlineStr">
        <is>
          <t xml:space="preserve">Client portals</t>
        </is>
      </c>
      <c r="E81" s="3" t="inlineStr">
        <is>
          <t xml:space="preserve">Create → upload a document → annotate, place markers, zoom, undo/redo → comment → export.</t>
        </is>
      </c>
      <c r="F81" s="2" t="inlineStr">
        <is>
          <t xml:space="preserve">34 actions</t>
        </is>
      </c>
      <c r="G81" s="6" t="inlineStr">
        <is>
          <t xml:space="preserve">Not tested</t>
        </is>
      </c>
      <c r="H81" s="2"/>
      <c r="I81" s="2"/>
      <c r="J81" s="3"/>
    </row>
    <row r="82">
      <c r="A82" s="2" t="inlineStr">
        <is>
          <t xml:space="preserve">OPS-01</t>
        </is>
      </c>
      <c r="B82" s="2" t="inlineStr">
        <is>
          <t xml:space="preserve">Operations, finance and estimating</t>
        </is>
      </c>
      <c r="C82" s="2" t="inlineStr">
        <is>
          <t xml:space="preserve">Modules</t>
        </is>
      </c>
      <c r="D82" s="3" t="inlineStr">
        <is>
          <t xml:space="preserve">Files and Drive</t>
        </is>
      </c>
      <c r="E82" s="3" t="inlineStr">
        <is>
          <t xml:space="preserve">Upload → move → copy → select several → transfer → download → delete.</t>
        </is>
      </c>
      <c r="F82" s="2" t="inlineStr">
        <is>
          <t xml:space="preserve">16 actions</t>
        </is>
      </c>
      <c r="G82" s="6" t="inlineStr">
        <is>
          <t xml:space="preserve">Not tested</t>
        </is>
      </c>
      <c r="H82" s="2"/>
      <c r="I82" s="2"/>
      <c r="J82" s="3"/>
    </row>
    <row r="83">
      <c r="A83" s="2" t="inlineStr">
        <is>
          <t xml:space="preserve">OPS-02</t>
        </is>
      </c>
      <c r="B83" s="2" t="inlineStr">
        <is>
          <t xml:space="preserve">Operations, finance and estimating</t>
        </is>
      </c>
      <c r="C83" s="2" t="inlineStr">
        <is>
          <t xml:space="preserve">Modules</t>
        </is>
      </c>
      <c r="D83" s="3" t="inlineStr">
        <is>
          <t xml:space="preserve">Finance</t>
        </is>
      </c>
      <c r="E83" s="3" t="inlineStr">
        <is>
          <t xml:space="preserve">Create an invoice, an expense, a payment and a vendor; edit each.</t>
        </is>
      </c>
      <c r="F83" s="2" t="inlineStr">
        <is>
          <t xml:space="preserve">7 actions</t>
        </is>
      </c>
      <c r="G83" s="6" t="inlineStr">
        <is>
          <t xml:space="preserve">Not tested</t>
        </is>
      </c>
      <c r="H83" s="2"/>
      <c r="I83" s="2"/>
      <c r="J83" s="3"/>
    </row>
    <row r="84">
      <c r="A84" s="2" t="inlineStr">
        <is>
          <t xml:space="preserve">OPS-03</t>
        </is>
      </c>
      <c r="B84" s="2" t="inlineStr">
        <is>
          <t xml:space="preserve">Operations, finance and estimating</t>
        </is>
      </c>
      <c r="C84" s="2" t="inlineStr">
        <is>
          <t xml:space="preserve">Modules</t>
        </is>
      </c>
      <c r="D84" s="3" t="inlineStr">
        <is>
          <t xml:space="preserve">Price Book</t>
        </is>
      </c>
      <c r="E84" s="3" t="inlineStr">
        <is>
          <t xml:space="preserve">Add a vendor and material → edit cost → sort → categorise → import → delete a row.</t>
        </is>
      </c>
      <c r="F84" s="2" t="inlineStr">
        <is>
          <t xml:space="preserve">13 actions</t>
        </is>
      </c>
      <c r="G84" s="6" t="inlineStr">
        <is>
          <t xml:space="preserve">Not tested</t>
        </is>
      </c>
      <c r="H84" s="2"/>
      <c r="I84" s="2"/>
      <c r="J84" s="3"/>
    </row>
    <row r="85">
      <c r="A85" s="2" t="inlineStr">
        <is>
          <t xml:space="preserve">OPS-04</t>
        </is>
      </c>
      <c r="B85" s="2" t="inlineStr">
        <is>
          <t xml:space="preserve">Operations, finance and estimating</t>
        </is>
      </c>
      <c r="C85" s="2" t="inlineStr">
        <is>
          <t xml:space="preserve">Modules</t>
        </is>
      </c>
      <c r="D85" s="3" t="inlineStr">
        <is>
          <t xml:space="preserve">Calendar</t>
        </is>
      </c>
      <c r="E85" s="3" t="inlineStr">
        <is>
          <t xml:space="preserve">Add an event → edit → move between views → change scope → delete.</t>
        </is>
      </c>
      <c r="F85" s="2" t="inlineStr">
        <is>
          <t xml:space="preserve">9 actions</t>
        </is>
      </c>
      <c r="G85" s="6" t="inlineStr">
        <is>
          <t xml:space="preserve">Not tested</t>
        </is>
      </c>
      <c r="H85" s="2"/>
      <c r="I85" s="2"/>
      <c r="J85" s="3"/>
    </row>
    <row r="86">
      <c r="A86" s="2" t="inlineStr">
        <is>
          <t xml:space="preserve">OPS-05</t>
        </is>
      </c>
      <c r="B86" s="2" t="inlineStr">
        <is>
          <t xml:space="preserve">Operations, finance and estimating</t>
        </is>
      </c>
      <c r="C86" s="2" t="inlineStr">
        <is>
          <t xml:space="preserve">Modules</t>
        </is>
      </c>
      <c r="D86" s="3" t="inlineStr">
        <is>
          <t xml:space="preserve">Time and clock</t>
        </is>
      </c>
      <c r="E86" s="3" t="inlineStr">
        <is>
          <t xml:space="preserve">Clock in, clock out. Expect: the entry lands with the right duration on the clock dashboard.</t>
        </is>
      </c>
      <c r="F86" s="2"/>
      <c r="G86" s="6" t="inlineStr">
        <is>
          <t xml:space="preserve">Not tested</t>
        </is>
      </c>
      <c r="H86" s="2"/>
      <c r="I86" s="2"/>
      <c r="J86" s="3"/>
    </row>
    <row r="87">
      <c r="A87" s="2" t="inlineStr">
        <is>
          <t xml:space="preserve">OPS-06</t>
        </is>
      </c>
      <c r="B87" s="2" t="inlineStr">
        <is>
          <t xml:space="preserve">Operations, finance and estimating</t>
        </is>
      </c>
      <c r="C87" s="2" t="inlineStr">
        <is>
          <t xml:space="preserve">Modules</t>
        </is>
      </c>
      <c r="D87" s="3" t="inlineStr">
        <is>
          <t xml:space="preserve">Approvals</t>
        </is>
      </c>
      <c r="E87" s="3" t="inlineStr">
        <is>
          <t xml:space="preserve">Submit something for approval, then approve and reject as the right role.</t>
        </is>
      </c>
      <c r="F87" s="2"/>
      <c r="G87" s="6" t="inlineStr">
        <is>
          <t xml:space="preserve">Not tested</t>
        </is>
      </c>
      <c r="H87" s="2"/>
      <c r="I87" s="2"/>
      <c r="J87" s="3"/>
    </row>
    <row r="88">
      <c r="A88" s="2" t="inlineStr">
        <is>
          <t xml:space="preserve">OPS-07</t>
        </is>
      </c>
      <c r="B88" s="2" t="inlineStr">
        <is>
          <t xml:space="preserve">Operations, finance and estimating</t>
        </is>
      </c>
      <c r="C88" s="2" t="inlineStr">
        <is>
          <t xml:space="preserve">Modules</t>
        </is>
      </c>
      <c r="D88" s="3" t="inlineStr">
        <is>
          <t xml:space="preserve">EOD reports</t>
        </is>
      </c>
      <c r="E88" s="3" t="inlineStr">
        <is>
          <t xml:space="preserve">Write, edit, review and export a report to CSV.</t>
        </is>
      </c>
      <c r="F88" s="2"/>
      <c r="G88" s="6" t="inlineStr">
        <is>
          <t xml:space="preserve">Not tested</t>
        </is>
      </c>
      <c r="H88" s="2"/>
      <c r="I88" s="2"/>
      <c r="J88" s="3"/>
    </row>
    <row r="89">
      <c r="A89" s="2" t="inlineStr">
        <is>
          <t xml:space="preserve">OPS-08</t>
        </is>
      </c>
      <c r="B89" s="2" t="inlineStr">
        <is>
          <t xml:space="preserve">Operations, finance and estimating</t>
        </is>
      </c>
      <c r="C89" s="2" t="inlineStr">
        <is>
          <t xml:space="preserve">Modules</t>
        </is>
      </c>
      <c r="D89" s="3" t="inlineStr">
        <is>
          <t xml:space="preserve">Team workload and team chart</t>
        </is>
      </c>
      <c r="E89" s="3" t="inlineStr">
        <is>
          <t xml:space="preserve">Expect: both render with real people and no console error.</t>
        </is>
      </c>
      <c r="F89" s="2"/>
      <c r="G89" s="6" t="inlineStr">
        <is>
          <t xml:space="preserve">Not tested</t>
        </is>
      </c>
      <c r="H89" s="2"/>
      <c r="I89" s="2"/>
      <c r="J89" s="3"/>
    </row>
    <row r="90">
      <c r="A90" s="2" t="inlineStr">
        <is>
          <t xml:space="preserve">OPS-09</t>
        </is>
      </c>
      <c r="B90" s="2" t="inlineStr">
        <is>
          <t xml:space="preserve">Operations, finance and estimating</t>
        </is>
      </c>
      <c r="C90" s="2" t="inlineStr">
        <is>
          <t xml:space="preserve">Modules</t>
        </is>
      </c>
      <c r="D90" s="3" t="inlineStr">
        <is>
          <t xml:space="preserve">Knowledge base</t>
        </is>
      </c>
      <c r="E90" s="3" t="inlineStr">
        <is>
          <t xml:space="preserve">Create → edit → delete an article.</t>
        </is>
      </c>
      <c r="F90" s="2" t="inlineStr">
        <is>
          <t xml:space="preserve">5 actions</t>
        </is>
      </c>
      <c r="G90" s="6" t="inlineStr">
        <is>
          <t xml:space="preserve">Not tested</t>
        </is>
      </c>
      <c r="H90" s="2"/>
      <c r="I90" s="2"/>
      <c r="J90" s="3"/>
    </row>
    <row r="91">
      <c r="A91" s="2" t="inlineStr">
        <is>
          <t xml:space="preserve">OPS-10</t>
        </is>
      </c>
      <c r="B91" s="2" t="inlineStr">
        <is>
          <t xml:space="preserve">Operations, finance and estimating</t>
        </is>
      </c>
      <c r="C91" s="2" t="inlineStr">
        <is>
          <t xml:space="preserve">Modules</t>
        </is>
      </c>
      <c r="D91" s="3" t="inlineStr">
        <is>
          <t xml:space="preserve">Tasks</t>
        </is>
      </c>
      <c r="E91" s="3" t="inlineStr">
        <is>
          <t xml:space="preserve">Create from several places (record, palette, workspace), complete, delete. Check a recurring task rolls forward.</t>
        </is>
      </c>
      <c r="F91" s="2"/>
      <c r="G91" s="6" t="inlineStr">
        <is>
          <t xml:space="preserve">Not tested</t>
        </is>
      </c>
      <c r="H91" s="2"/>
      <c r="I91" s="2"/>
      <c r="J91" s="3"/>
    </row>
    <row r="92">
      <c r="A92" s="2" t="inlineStr">
        <is>
          <t xml:space="preserve">MSG-01</t>
        </is>
      </c>
      <c r="B92" s="2" t="inlineStr">
        <is>
          <t xml:space="preserve">Messages, notifications and search</t>
        </is>
      </c>
      <c r="C92" s="2" t="inlineStr">
        <is>
          <t xml:space="preserve">Modules</t>
        </is>
      </c>
      <c r="D92" s="3" t="inlineStr">
        <is>
          <t xml:space="preserve">Direct messages</t>
        </is>
      </c>
      <c r="E92" s="3" t="inlineStr">
        <is>
          <t xml:space="preserve">Start a new direct message, send, attach a file, edit, delete.</t>
        </is>
      </c>
      <c r="F92" s="2" t="inlineStr">
        <is>
          <t xml:space="preserve">23 actions</t>
        </is>
      </c>
      <c r="G92" s="6" t="inlineStr">
        <is>
          <t xml:space="preserve">Not tested</t>
        </is>
      </c>
      <c r="H92" s="2"/>
      <c r="I92" s="2"/>
      <c r="J92" s="3"/>
    </row>
    <row r="93">
      <c r="A93" s="2" t="inlineStr">
        <is>
          <t xml:space="preserve">MSG-02</t>
        </is>
      </c>
      <c r="B93" s="2" t="inlineStr">
        <is>
          <t xml:space="preserve">Messages, notifications and search</t>
        </is>
      </c>
      <c r="C93" s="2" t="inlineStr">
        <is>
          <t xml:space="preserve">Modules</t>
        </is>
      </c>
      <c r="D93" s="3" t="inlineStr">
        <is>
          <t xml:space="preserve">Group messages</t>
        </is>
      </c>
      <c r="E93" s="3" t="inlineStr">
        <is>
          <t xml:space="preserve">Create a group, set its icon, manage members.</t>
        </is>
      </c>
      <c r="F93" s="2"/>
      <c r="G93" s="6" t="inlineStr">
        <is>
          <t xml:space="preserve">Not tested</t>
        </is>
      </c>
      <c r="H93" s="2"/>
      <c r="I93" s="2"/>
      <c r="J93" s="3"/>
    </row>
    <row r="94">
      <c r="A94" s="2" t="inlineStr">
        <is>
          <t xml:space="preserve">MSG-03</t>
        </is>
      </c>
      <c r="B94" s="2" t="inlineStr">
        <is>
          <t xml:space="preserve">Messages, notifications and search</t>
        </is>
      </c>
      <c r="C94" s="2" t="inlineStr">
        <is>
          <t xml:space="preserve">Modules</t>
        </is>
      </c>
      <c r="D94" s="3" t="inlineStr">
        <is>
          <t xml:space="preserve">Message dock</t>
        </is>
      </c>
      <c r="E94" s="3" t="inlineStr">
        <is>
          <t xml:space="preserve">Open the floating dock, switch tabs, open a conversation, minimise, close.</t>
        </is>
      </c>
      <c r="F94" s="2"/>
      <c r="G94" s="6" t="inlineStr">
        <is>
          <t xml:space="preserve">Not tested</t>
        </is>
      </c>
      <c r="H94" s="2"/>
      <c r="I94" s="2"/>
      <c r="J94" s="3"/>
    </row>
    <row r="95">
      <c r="A95" s="2" t="inlineStr">
        <is>
          <t xml:space="preserve">MSG-04</t>
        </is>
      </c>
      <c r="B95" s="2" t="inlineStr">
        <is>
          <t xml:space="preserve">Messages, notifications and search</t>
        </is>
      </c>
      <c r="C95" s="2" t="inlineStr">
        <is>
          <t xml:space="preserve">Modules</t>
        </is>
      </c>
      <c r="D95" s="3" t="inlineStr">
        <is>
          <t xml:space="preserve">Presence ring</t>
        </is>
      </c>
      <c r="E95" s="3" t="inlineStr">
        <is>
          <t xml:space="preserve">Expect: a green ring on people who are online, grey on those who are not.</t>
        </is>
      </c>
      <c r="F95" s="2"/>
      <c r="G95" s="6" t="inlineStr">
        <is>
          <t xml:space="preserve">Not tested</t>
        </is>
      </c>
      <c r="H95" s="2"/>
      <c r="I95" s="2"/>
      <c r="J95" s="3"/>
    </row>
    <row r="96">
      <c r="A96" s="2" t="inlineStr">
        <is>
          <t xml:space="preserve">MSG-05</t>
        </is>
      </c>
      <c r="B96" s="2" t="inlineStr">
        <is>
          <t xml:space="preserve">Messages, notifications and search</t>
        </is>
      </c>
      <c r="C96" s="2" t="inlineStr">
        <is>
          <t xml:space="preserve">Modules</t>
        </is>
      </c>
      <c r="D96" s="3" t="inlineStr">
        <is>
          <t xml:space="preserve">Notifications</t>
        </is>
      </c>
      <c r="E96" s="3" t="inlineStr">
        <is>
          <t xml:space="preserve">Open the bell, open an item, mark all read.</t>
        </is>
      </c>
      <c r="F96" s="2"/>
      <c r="G96" s="6" t="inlineStr">
        <is>
          <t xml:space="preserve">Not tested</t>
        </is>
      </c>
      <c r="H96" s="2"/>
      <c r="I96" s="2"/>
      <c r="J96" s="3"/>
    </row>
    <row r="97">
      <c r="A97" s="2" t="inlineStr">
        <is>
          <t xml:space="preserve">MSG-06</t>
        </is>
      </c>
      <c r="B97" s="2" t="inlineStr">
        <is>
          <t xml:space="preserve">Messages, notifications and search</t>
        </is>
      </c>
      <c r="C97" s="2" t="inlineStr">
        <is>
          <t xml:space="preserve">Modules</t>
        </is>
      </c>
      <c r="D97" s="3" t="inlineStr">
        <is>
          <t xml:space="preserve">Command palette</t>
        </is>
      </c>
      <c r="E97" s="3" t="inlineStr">
        <is>
          <t xml:space="preserve">Ctrl+K → search a record → run a command → create a task and a contact from it.</t>
        </is>
      </c>
      <c r="F97" s="2"/>
      <c r="G97" s="6" t="inlineStr">
        <is>
          <t xml:space="preserve">Not tested</t>
        </is>
      </c>
      <c r="H97" s="2"/>
      <c r="I97" s="2"/>
      <c r="J97" s="3"/>
    </row>
    <row r="98">
      <c r="A98" s="2" t="inlineStr">
        <is>
          <t xml:space="preserve">MSG-07</t>
        </is>
      </c>
      <c r="B98" s="2" t="inlineStr">
        <is>
          <t xml:space="preserve">Messages, notifications and search</t>
        </is>
      </c>
      <c r="C98" s="2" t="inlineStr">
        <is>
          <t xml:space="preserve">Modules</t>
        </is>
      </c>
      <c r="D98" s="3" t="inlineStr">
        <is>
          <t xml:space="preserve">Global search</t>
        </is>
      </c>
      <c r="E98" s="3" t="inlineStr">
        <is>
          <t xml:space="preserve">Type in the topbar search. Expect: the palette opens with your text carried in.</t>
        </is>
      </c>
      <c r="F98" s="2"/>
      <c r="G98" s="6" t="inlineStr">
        <is>
          <t xml:space="preserve">Not tested</t>
        </is>
      </c>
      <c r="H98" s="2"/>
      <c r="I98" s="2"/>
      <c r="J98" s="3"/>
    </row>
    <row r="99">
      <c r="A99" s="2" t="inlineStr">
        <is>
          <t xml:space="preserve">ADM-01</t>
        </is>
      </c>
      <c r="B99" s="2" t="inlineStr">
        <is>
          <t xml:space="preserve">Company, users and platform</t>
        </is>
      </c>
      <c r="C99" s="2" t="inlineStr">
        <is>
          <t xml:space="preserve">Modules</t>
        </is>
      </c>
      <c r="D99" s="3" t="inlineStr">
        <is>
          <t xml:space="preserve">Users and invites</t>
        </is>
      </c>
      <c r="E99" s="3" t="inlineStr">
        <is>
          <t xml:space="preserve">Send an invite, copy the code and link, revoke it. Approve and reject a join request.</t>
        </is>
      </c>
      <c r="F99" s="2" t="inlineStr">
        <is>
          <t xml:space="preserve">11 actions</t>
        </is>
      </c>
      <c r="G99" s="6" t="inlineStr">
        <is>
          <t xml:space="preserve">Not tested</t>
        </is>
      </c>
      <c r="H99" s="2"/>
      <c r="I99" s="2"/>
      <c r="J99" s="3"/>
    </row>
    <row r="100">
      <c r="A100" s="2" t="inlineStr">
        <is>
          <t xml:space="preserve">ADM-02</t>
        </is>
      </c>
      <c r="B100" s="2" t="inlineStr">
        <is>
          <t xml:space="preserve">Company, users and platform</t>
        </is>
      </c>
      <c r="C100" s="2" t="inlineStr">
        <is>
          <t xml:space="preserve">Modules</t>
        </is>
      </c>
      <c r="D100" s="3" t="inlineStr">
        <is>
          <t xml:space="preserve">Roles and permissions</t>
        </is>
      </c>
      <c r="E100" s="3" t="inlineStr">
        <is>
          <t xml:space="preserve">Create a role, set permissions, assign it, then use "View as role" to check what that person sees.</t>
        </is>
      </c>
      <c r="F100" s="2" t="inlineStr">
        <is>
          <t xml:space="preserve">critical</t>
        </is>
      </c>
      <c r="G100" s="6" t="inlineStr">
        <is>
          <t xml:space="preserve">Not tested</t>
        </is>
      </c>
      <c r="H100" s="2"/>
      <c r="I100" s="2"/>
      <c r="J100" s="3"/>
    </row>
    <row r="101">
      <c r="A101" s="2" t="inlineStr">
        <is>
          <t xml:space="preserve">ADM-03</t>
        </is>
      </c>
      <c r="B101" s="2" t="inlineStr">
        <is>
          <t xml:space="preserve">Company, users and platform</t>
        </is>
      </c>
      <c r="C101" s="2" t="inlineStr">
        <is>
          <t xml:space="preserve">Modules</t>
        </is>
      </c>
      <c r="D101" s="3" t="inlineStr">
        <is>
          <t xml:space="preserve">Settings sweep</t>
        </is>
      </c>
      <c r="E101" s="3" t="inlineStr">
        <is>
          <t xml:space="preserve">Work through every settings tab. Expect: no blank page on any of them.</t>
        </is>
      </c>
      <c r="F101" s="2" t="inlineStr">
        <is>
          <t xml:space="preserve">was broken</t>
        </is>
      </c>
      <c r="G101" s="6" t="inlineStr">
        <is>
          <t xml:space="preserve">Not tested</t>
        </is>
      </c>
      <c r="H101" s="2"/>
      <c r="I101" s="2"/>
      <c r="J101" s="3"/>
    </row>
    <row r="102">
      <c r="A102" s="2" t="inlineStr">
        <is>
          <t xml:space="preserve">ADM-04</t>
        </is>
      </c>
      <c r="B102" s="2" t="inlineStr">
        <is>
          <t xml:space="preserve">Company, users and platform</t>
        </is>
      </c>
      <c r="C102" s="2" t="inlineStr">
        <is>
          <t xml:space="preserve">Modules</t>
        </is>
      </c>
      <c r="D102" s="3" t="inlineStr">
        <is>
          <t xml:space="preserve">Company switching</t>
        </is>
      </c>
      <c r="E102" s="3" t="inlineStr">
        <is>
          <t xml:space="preserve">Switch between companies. Expect: data changes completely — no records leak between them.</t>
        </is>
      </c>
      <c r="F102" s="2" t="inlineStr">
        <is>
          <t xml:space="preserve">critical</t>
        </is>
      </c>
      <c r="G102" s="6" t="inlineStr">
        <is>
          <t xml:space="preserve">Not tested</t>
        </is>
      </c>
      <c r="H102" s="2"/>
      <c r="I102" s="2"/>
      <c r="J102" s="3"/>
    </row>
    <row r="103">
      <c r="A103" s="2" t="inlineStr">
        <is>
          <t xml:space="preserve">ADM-05</t>
        </is>
      </c>
      <c r="B103" s="2" t="inlineStr">
        <is>
          <t xml:space="preserve">Company, users and platform</t>
        </is>
      </c>
      <c r="C103" s="2" t="inlineStr">
        <is>
          <t xml:space="preserve">Modules</t>
        </is>
      </c>
      <c r="D103" s="3" t="inlineStr">
        <is>
          <t xml:space="preserve">Create a company with a new name</t>
        </is>
      </c>
      <c r="E103" s="3" t="inlineStr">
        <is>
          <t xml:space="preserve">Expect: it is created and you are its owner.</t>
        </is>
      </c>
      <c r="F103" s="2"/>
      <c r="G103" s="6" t="inlineStr">
        <is>
          <t xml:space="preserve">Not tested</t>
        </is>
      </c>
      <c r="H103" s="2"/>
      <c r="I103" s="2"/>
      <c r="J103" s="3"/>
    </row>
    <row r="104">
      <c r="A104" s="2" t="inlineStr">
        <is>
          <t xml:space="preserve">ADM-06</t>
        </is>
      </c>
      <c r="B104" s="2" t="inlineStr">
        <is>
          <t xml:space="preserve">Company, users and platform</t>
        </is>
      </c>
      <c r="C104" s="2" t="inlineStr">
        <is>
          <t xml:space="preserve">Modules</t>
        </is>
      </c>
      <c r="D104" s="3" t="inlineStr">
        <is>
          <t xml:space="preserve">Create a company with a duplicate name</t>
        </is>
      </c>
      <c r="E104" s="3" t="inlineStr">
        <is>
          <t xml:space="preserve">Expect (today): it saves, giving you two companies with the same name. This is current behaviour, not a bug — flag it if you want it blocked.</t>
        </is>
      </c>
      <c r="F104" s="2"/>
      <c r="G104" s="6" t="inlineStr">
        <is>
          <t xml:space="preserve">Not tested</t>
        </is>
      </c>
      <c r="H104" s="2"/>
      <c r="I104" s="2"/>
      <c r="J104" s="3"/>
    </row>
    <row r="105">
      <c r="A105" s="2" t="inlineStr">
        <is>
          <t xml:space="preserve">ADM-07</t>
        </is>
      </c>
      <c r="B105" s="2" t="inlineStr">
        <is>
          <t xml:space="preserve">Company, users and platform</t>
        </is>
      </c>
      <c r="C105" s="2" t="inlineStr">
        <is>
          <t xml:space="preserve">Modules</t>
        </is>
      </c>
      <c r="D105" s="3" t="inlineStr">
        <is>
          <t xml:space="preserve">Master panel</t>
        </is>
      </c>
      <c r="E105" s="3" t="inlineStr">
        <is>
          <t xml:space="preserve">As the Lumen master account, open the Master section. Expect: it opens and lists companies.</t>
        </is>
      </c>
      <c r="F105" s="2" t="inlineStr">
        <is>
          <t xml:space="preserve">critical, was broken</t>
        </is>
      </c>
      <c r="G105" s="6" t="inlineStr">
        <is>
          <t xml:space="preserve">Not tested</t>
        </is>
      </c>
      <c r="H105" s="2"/>
      <c r="I105" s="2"/>
      <c r="J105" s="3"/>
    </row>
    <row r="106">
      <c r="A106" s="2" t="inlineStr">
        <is>
          <t xml:space="preserve">ADM-08</t>
        </is>
      </c>
      <c r="B106" s="2" t="inlineStr">
        <is>
          <t xml:space="preserve">Company, users and platform</t>
        </is>
      </c>
      <c r="C106" s="2" t="inlineStr">
        <is>
          <t xml:space="preserve">Modules</t>
        </is>
      </c>
      <c r="D106" s="3" t="inlineStr">
        <is>
          <t xml:space="preserve">Profile and avatar</t>
        </is>
      </c>
      <c r="E106" s="3" t="inlineStr">
        <is>
          <t xml:space="preserve">Change your name, upload and crop an avatar.</t>
        </is>
      </c>
      <c r="F106" s="2"/>
      <c r="G106" s="6" t="inlineStr">
        <is>
          <t xml:space="preserve">Not tested</t>
        </is>
      </c>
      <c r="H106" s="2"/>
      <c r="I106" s="2"/>
      <c r="J106" s="3"/>
    </row>
    <row r="107">
      <c r="A107" s="2" t="inlineStr">
        <is>
          <t xml:space="preserve">ADM-09</t>
        </is>
      </c>
      <c r="B107" s="2" t="inlineStr">
        <is>
          <t xml:space="preserve">Company, users and platform</t>
        </is>
      </c>
      <c r="C107" s="2" t="inlineStr">
        <is>
          <t xml:space="preserve">Modules</t>
        </is>
      </c>
      <c r="D107" s="3" t="inlineStr">
        <is>
          <t xml:space="preserve">Sign out and back in</t>
        </is>
      </c>
      <c r="E107" s="3" t="inlineStr">
        <is>
          <t xml:space="preserve">Expect: you land where you should, with your company and workspace intact.</t>
        </is>
      </c>
      <c r="F107" s="2"/>
      <c r="G107" s="6" t="inlineStr">
        <is>
          <t xml:space="preserve">Not tested</t>
        </is>
      </c>
      <c r="H107" s="2"/>
      <c r="I107" s="2"/>
      <c r="J107" s="3"/>
    </row>
    <row r="108">
      <c r="A108" s="2" t="inlineStr">
        <is>
          <t xml:space="preserve">X-01</t>
        </is>
      </c>
      <c r="B108" s="2" t="inlineStr">
        <is>
          <t xml:space="preserve">Cross-cutting</t>
        </is>
      </c>
      <c r="C108" s="2" t="inlineStr">
        <is>
          <t xml:space="preserve">P1</t>
        </is>
      </c>
      <c r="D108" s="3" t="inlineStr">
        <is>
          <t xml:space="preserve">Workspace scoping</t>
        </is>
      </c>
      <c r="E108" s="3" t="inlineStr">
        <is>
          <t xml:space="preserve">Switch workspace and check contacts, jobs, quotes, tasks and files. Expect: each shows only that workspace's records.</t>
        </is>
      </c>
      <c r="F108" s="2" t="inlineStr">
        <is>
          <t xml:space="preserve">critical</t>
        </is>
      </c>
      <c r="G108" s="6" t="inlineStr">
        <is>
          <t xml:space="preserve">Not tested</t>
        </is>
      </c>
      <c r="H108" s="2"/>
      <c r="I108" s="2"/>
      <c r="J108" s="3"/>
    </row>
    <row r="109">
      <c r="A109" s="2" t="inlineStr">
        <is>
          <t xml:space="preserve">X-02</t>
        </is>
      </c>
      <c r="B109" s="2" t="inlineStr">
        <is>
          <t xml:space="preserve">Cross-cutting</t>
        </is>
      </c>
      <c r="C109" s="2" t="inlineStr">
        <is>
          <t xml:space="preserve">P1</t>
        </is>
      </c>
      <c r="D109" s="3" t="inlineStr">
        <is>
          <t xml:space="preserve">Narrow window</t>
        </is>
      </c>
      <c r="E109" s="3" t="inlineStr">
        <is>
          <t xml:space="preserve">Resize to roughly half width and re-walk the dashboard, jobs and workspaces. Expect: nothing clipped, no sideways page scroll, still one scrollbar.</t>
        </is>
      </c>
      <c r="F109" s="2"/>
      <c r="G109" s="6" t="inlineStr">
        <is>
          <t xml:space="preserve">Not tested</t>
        </is>
      </c>
      <c r="H109" s="2"/>
      <c r="I109" s="2"/>
      <c r="J109" s="3"/>
    </row>
    <row r="110">
      <c r="A110" s="2" t="inlineStr">
        <is>
          <t xml:space="preserve">X-03</t>
        </is>
      </c>
      <c r="B110" s="2" t="inlineStr">
        <is>
          <t xml:space="preserve">Cross-cutting</t>
        </is>
      </c>
      <c r="C110" s="2" t="inlineStr">
        <is>
          <t xml:space="preserve">P1</t>
        </is>
      </c>
      <c r="D110" s="3" t="inlineStr">
        <is>
          <t xml:space="preserve">Phone width</t>
        </is>
      </c>
      <c r="E110" s="3" t="inlineStr">
        <is>
          <t xml:space="preserve">Open on a phone or a 400px window. Expect: the mobile nav works and content is reachable.</t>
        </is>
      </c>
      <c r="F110" s="2"/>
      <c r="G110" s="6" t="inlineStr">
        <is>
          <t xml:space="preserve">Not tested</t>
        </is>
      </c>
      <c r="H110" s="2"/>
      <c r="I110" s="2"/>
      <c r="J110" s="3"/>
    </row>
    <row r="111">
      <c r="A111" s="2" t="inlineStr">
        <is>
          <t xml:space="preserve">X-04</t>
        </is>
      </c>
      <c r="B111" s="2" t="inlineStr">
        <is>
          <t xml:space="preserve">Cross-cutting</t>
        </is>
      </c>
      <c r="C111" s="2" t="inlineStr">
        <is>
          <t xml:space="preserve">P1</t>
        </is>
      </c>
      <c r="D111" s="3" t="inlineStr">
        <is>
          <t xml:space="preserve">Escape closes dialogs</t>
        </is>
      </c>
      <c r="E111" s="3" t="inlineStr">
        <is>
          <t xml:space="preserve">Open any dialog and press Escape. Expect: it closes and focus returns to the button that opened it.</t>
        </is>
      </c>
      <c r="F111" s="2"/>
      <c r="G111" s="6" t="inlineStr">
        <is>
          <t xml:space="preserve">Not tested</t>
        </is>
      </c>
      <c r="H111" s="2"/>
      <c r="I111" s="2"/>
      <c r="J111" s="3"/>
    </row>
    <row r="112">
      <c r="A112" s="2" t="inlineStr">
        <is>
          <t xml:space="preserve">X-05</t>
        </is>
      </c>
      <c r="B112" s="2" t="inlineStr">
        <is>
          <t xml:space="preserve">Cross-cutting</t>
        </is>
      </c>
      <c r="C112" s="2" t="inlineStr">
        <is>
          <t xml:space="preserve">P1</t>
        </is>
      </c>
      <c r="D112" s="3" t="inlineStr">
        <is>
          <t xml:space="preserve">Tab stays inside a dialog</t>
        </is>
      </c>
      <c r="E112" s="3" t="inlineStr">
        <is>
          <t xml:space="preserve">Open a dialog and hold Tab. Expect: focus cycles inside it, never onto the page behind.</t>
        </is>
      </c>
      <c r="F112" s="2"/>
      <c r="G112" s="6" t="inlineStr">
        <is>
          <t xml:space="preserve">Not tested</t>
        </is>
      </c>
      <c r="H112" s="2"/>
      <c r="I112" s="2"/>
      <c r="J112" s="3"/>
    </row>
    <row r="113">
      <c r="A113" s="2" t="inlineStr">
        <is>
          <t xml:space="preserve">X-06</t>
        </is>
      </c>
      <c r="B113" s="2" t="inlineStr">
        <is>
          <t xml:space="preserve">Cross-cutting</t>
        </is>
      </c>
      <c r="C113" s="2" t="inlineStr">
        <is>
          <t xml:space="preserve">P1</t>
        </is>
      </c>
      <c r="D113" s="3" t="inlineStr">
        <is>
          <t xml:space="preserve">Refresh mid-flow</t>
        </is>
      </c>
      <c r="E113" s="3" t="inlineStr">
        <is>
          <t xml:space="preserve">Reload the page on several routes. Expect: you land back on the same route, signed in.</t>
        </is>
      </c>
      <c r="F113" s="2"/>
      <c r="G113" s="6" t="inlineStr">
        <is>
          <t xml:space="preserve">Not tested</t>
        </is>
      </c>
      <c r="H113" s="2"/>
      <c r="I113" s="2"/>
      <c r="J113" s="3"/>
    </row>
    <row r="114">
      <c r="A114" s="2" t="inlineStr">
        <is>
          <t xml:space="preserve">X-07</t>
        </is>
      </c>
      <c r="B114" s="2" t="inlineStr">
        <is>
          <t xml:space="preserve">Cross-cutting</t>
        </is>
      </c>
      <c r="C114" s="2" t="inlineStr">
        <is>
          <t xml:space="preserve">P1</t>
        </is>
      </c>
      <c r="D114" s="3" t="inlineStr">
        <is>
          <t xml:space="preserve">Unsaved-draft recovery</t>
        </is>
      </c>
      <c r="E114" s="3" t="inlineStr">
        <is>
          <t xml:space="preserve">Start a job or contact, leave without saving, come back. Expect: Restore or Discard is offered, and Restore returns the exact values.</t>
        </is>
      </c>
      <c r="F114" s="2"/>
      <c r="G114" s="6" t="inlineStr">
        <is>
          <t xml:space="preserve">Not tested</t>
        </is>
      </c>
      <c r="H114" s="2"/>
      <c r="I114" s="2"/>
      <c r="J114" s="3"/>
    </row>
    <row r="115">
      <c r="A115" s="2" t="inlineStr">
        <is>
          <t xml:space="preserve">X-08</t>
        </is>
      </c>
      <c r="B115" s="2" t="inlineStr">
        <is>
          <t xml:space="preserve">Cross-cutting</t>
        </is>
      </c>
      <c r="C115" s="2" t="inlineStr">
        <is>
          <t xml:space="preserve">P1</t>
        </is>
      </c>
      <c r="D115" s="3" t="inlineStr">
        <is>
          <t xml:space="preserve">Console is clean at the end</t>
        </is>
      </c>
      <c r="E115" s="3" t="inlineStr">
        <is>
          <t xml:space="preserve">After the whole sweep. Expect: no red errors. Note any that appeared and what you were doing.</t>
        </is>
      </c>
      <c r="F115" s="2" t="inlineStr">
        <is>
          <t xml:space="preserve">critical</t>
        </is>
      </c>
      <c r="G115" s="6" t="inlineStr">
        <is>
          <t xml:space="preserve">Not tested</t>
        </is>
      </c>
      <c r="H115" s="2"/>
      <c r="I115" s="2"/>
      <c r="J115" s="3"/>
    </row>
    <row r="116">
      <c r="A116" s="4" t="inlineStr">
        <is>
          <t xml:space="preserve">KNOWN-01</t>
        </is>
      </c>
      <c r="B116" s="4" t="inlineStr">
        <is>
          <t xml:space="preserve">Known issues — do not report these</t>
        </is>
      </c>
      <c r="C116" s="4" t="inlineStr">
        <is>
          <t xml:space="preserve">Info</t>
        </is>
      </c>
      <c r="D116" s="5" t="inlineStr">
        <is>
          <t xml:space="preserve">Tickets and Templates do nothing</t>
        </is>
      </c>
      <c r="E116" s="5" t="inlineStr">
        <is>
          <t xml:space="preserve">They are future navigation entries, deliberately not implemented.</t>
        </is>
      </c>
      <c r="F116" s="4"/>
      <c r="G116" s="6" t="inlineStr">
        <is>
          <t xml:space="preserve">N/A</t>
        </is>
      </c>
      <c r="H116" s="2"/>
      <c r="I116" s="2"/>
      <c r="J116" s="5"/>
    </row>
    <row r="117">
      <c r="A117" s="4" t="inlineStr">
        <is>
          <t xml:space="preserve">KNOWN-02</t>
        </is>
      </c>
      <c r="B117" s="4" t="inlineStr">
        <is>
          <t xml:space="preserve">Known issues — do not report these</t>
        </is>
      </c>
      <c r="C117" s="4" t="inlineStr">
        <is>
          <t xml:space="preserve">Info</t>
        </is>
      </c>
      <c r="D117" s="5" t="inlineStr">
        <is>
          <t xml:space="preserve">Workspace SMS is switched off</t>
        </is>
      </c>
      <c r="E117" s="5" t="inlineStr">
        <is>
          <t xml:space="preserve">Intentionally disabled until the routing model is made workspace-safe.</t>
        </is>
      </c>
      <c r="F117" s="4"/>
      <c r="G117" s="6" t="inlineStr">
        <is>
          <t xml:space="preserve">N/A</t>
        </is>
      </c>
      <c r="H117" s="2"/>
      <c r="I117" s="2"/>
      <c r="J117" s="5"/>
    </row>
    <row r="118">
      <c r="A118" s="4" t="inlineStr">
        <is>
          <t xml:space="preserve">KNOWN-03</t>
        </is>
      </c>
      <c r="B118" s="4" t="inlineStr">
        <is>
          <t xml:space="preserve">Known issues — do not report these</t>
        </is>
      </c>
      <c r="C118" s="4" t="inlineStr">
        <is>
          <t xml:space="preserve">Info</t>
        </is>
      </c>
      <c r="D118" s="5" t="inlineStr">
        <is>
          <t xml:space="preserve">Vite warns about a large bundle at build time</t>
        </is>
      </c>
      <c r="E118" s="5" t="inlineStr">
        <is>
          <t xml:space="preserve">Known and budgeted. The bundle-budget gate is what matters, and it passes.</t>
        </is>
      </c>
      <c r="F118" s="4"/>
      <c r="G118" s="6" t="inlineStr">
        <is>
          <t xml:space="preserve">N/A</t>
        </is>
      </c>
      <c r="H118" s="2"/>
      <c r="I118" s="2"/>
      <c r="J118" s="5"/>
    </row>
    <row r="119">
      <c r="A119" s="4" t="inlineStr">
        <is>
          <t xml:space="preserve">KNOWN-04</t>
        </is>
      </c>
      <c r="B119" s="4" t="inlineStr">
        <is>
          <t xml:space="preserve">Known issues — do not report these</t>
        </is>
      </c>
      <c r="C119" s="4" t="inlineStr">
        <is>
          <t xml:space="preserve">Info</t>
        </is>
      </c>
      <c r="D119" s="5" t="inlineStr">
        <is>
          <t xml:space="preserve">Preview deployments use a different database</t>
        </is>
      </c>
      <c r="E119" s="5" t="inlineStr">
        <is>
          <t xml:space="preserve">A preview URL proves the build, not the workspace or task flows. Test on production.</t>
        </is>
      </c>
      <c r="F119" s="4"/>
      <c r="G119" s="6" t="inlineStr">
        <is>
          <t xml:space="preserve">N/A</t>
        </is>
      </c>
      <c r="H119" s="2"/>
      <c r="I119" s="2"/>
      <c r="J119" s="5"/>
    </row>
    <row r="120">
      <c r="A120" s="4" t="inlineStr">
        <is>
          <t xml:space="preserve">KNOWN-05</t>
        </is>
      </c>
      <c r="B120" s="4" t="inlineStr">
        <is>
          <t xml:space="preserve">Known issues — do not report these</t>
        </is>
      </c>
      <c r="C120" s="4" t="inlineStr">
        <is>
          <t xml:space="preserve">Info</t>
        </is>
      </c>
      <c r="D120" s="5" t="inlineStr">
        <is>
          <t xml:space="preserve">A second scrollbar, if you still see one</t>
        </is>
      </c>
      <c r="E120" s="5" t="inlineStr">
        <is>
          <t xml:space="preserve">Add ?diag=layout to the URL and screenshot the readout instead of reporting it plainly — the readout names the element.</t>
        </is>
      </c>
      <c r="F120" s="4"/>
      <c r="G120" s="6" t="inlineStr">
        <is>
          <t xml:space="preserve">N/A</t>
        </is>
      </c>
      <c r="H120" s="2"/>
      <c r="I120" s="2"/>
      <c r="J120" s="5"/>
    </row>
  </sheetData>
  <autoFilter ref="A1:J120"/>
  <conditionalFormatting sqref="A2:J120">
    <cfRule type="expression" dxfId="0" priority="1">
      <formula>$G2="Fail"</formula>
    </cfRule>
    <cfRule type="expression" dxfId="1" priority="2">
      <formula>$G2="Pass"</formula>
    </cfRule>
    <cfRule type="expression" dxfId="2" priority="3">
      <formula>$G2="Blocked"</formula>
    </cfRule>
  </conditionalFormatting>
  <dataValidations count="1">
    <dataValidation type="list" allowBlank="1" showInputMessage="1" showErrorMessage="1" sqref="G2:G120">
      <formula1>"Not tested,Pass,Fail,Blocked,N/A"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" customWidth="1"/>
    <col min="2" max="2" width="18" customWidth="1"/>
  </cols>
  <sheetData>
    <row r="1">
      <c r="A1" s="1" t="inlineStr">
        <is>
          <t xml:space="preserve">Module</t>
        </is>
      </c>
      <c r="B1" s="1" t="inlineStr">
        <is>
          <t xml:space="preserve">Clickable actions</t>
        </is>
      </c>
    </row>
    <row r="2">
      <c r="A2" s="2" t="inlineStr">
        <is>
          <t xml:space="preserve">Forms (build, publish, responses)</t>
        </is>
      </c>
      <c r="B2" s="2">
        <v>40</v>
      </c>
    </row>
    <row r="3">
      <c r="A3" s="2" t="inlineStr">
        <is>
          <t xml:space="preserve">Workspaces / App Builder</t>
        </is>
      </c>
      <c r="B3" s="2">
        <v>36</v>
      </c>
    </row>
    <row r="4">
      <c r="A4" s="2" t="inlineStr">
        <is>
          <t xml:space="preserve">Client portals</t>
        </is>
      </c>
      <c r="B4" s="2">
        <v>34</v>
      </c>
    </row>
    <row r="5">
      <c r="A5" s="2" t="inlineStr">
        <is>
          <t xml:space="preserve">Contacts</t>
        </is>
      </c>
      <c r="B5" s="2">
        <v>33</v>
      </c>
    </row>
    <row r="6">
      <c r="A6" s="2" t="inlineStr">
        <is>
          <t xml:space="preserve">Messages</t>
        </is>
      </c>
      <c r="B6" s="2">
        <v>23</v>
      </c>
    </row>
    <row r="7">
      <c r="A7" s="2" t="inlineStr">
        <is>
          <t xml:space="preserve">Dashboard</t>
        </is>
      </c>
      <c r="B7" s="2">
        <v>17</v>
      </c>
    </row>
    <row r="8">
      <c r="A8" s="2" t="inlineStr">
        <is>
          <t xml:space="preserve">Files / Drive</t>
        </is>
      </c>
      <c r="B8" s="2">
        <v>16</v>
      </c>
    </row>
    <row r="9">
      <c r="A9" s="2" t="inlineStr">
        <is>
          <t xml:space="preserve">Jobs</t>
        </is>
      </c>
      <c r="B9" s="2">
        <v>15</v>
      </c>
    </row>
    <row r="10">
      <c r="A10" s="2" t="inlineStr">
        <is>
          <t xml:space="preserve">Price Book</t>
        </is>
      </c>
      <c r="B10" s="2">
        <v>13</v>
      </c>
    </row>
    <row r="11">
      <c r="A11" s="2" t="inlineStr">
        <is>
          <t xml:space="preserve">Settings / Appearance</t>
        </is>
      </c>
      <c r="B11" s="2">
        <v>13</v>
      </c>
    </row>
    <row r="12">
      <c r="A12" s="2" t="inlineStr">
        <is>
          <t xml:space="preserve">Users, roles, invites</t>
        </is>
      </c>
      <c r="B12" s="2">
        <v>11</v>
      </c>
    </row>
    <row r="13">
      <c r="A13" s="2" t="inlineStr">
        <is>
          <t xml:space="preserve">Quotes</t>
        </is>
      </c>
      <c r="B13" s="2">
        <v>9</v>
      </c>
    </row>
    <row r="14">
      <c r="A14" s="2" t="inlineStr">
        <is>
          <t xml:space="preserve">Calendar</t>
        </is>
      </c>
      <c r="B14" s="2">
        <v>9</v>
      </c>
    </row>
    <row r="15">
      <c r="A15" s="2" t="inlineStr">
        <is>
          <t xml:space="preserve">Proposals</t>
        </is>
      </c>
      <c r="B15" s="2">
        <v>8</v>
      </c>
    </row>
    <row r="16">
      <c r="A16" s="2" t="inlineStr">
        <is>
          <t xml:space="preserve">Finance</t>
        </is>
      </c>
      <c r="B16" s="2">
        <v>7</v>
      </c>
    </row>
    <row r="17">
      <c r="A17" s="2" t="inlineStr">
        <is>
          <t xml:space="preserve">Time, clock, approvals, EOD</t>
        </is>
      </c>
      <c r="B17" s="2">
        <v>7</v>
      </c>
    </row>
    <row r="18">
      <c r="A18" s="2" t="inlineStr">
        <is>
          <t xml:space="preserve">Recycle Bin</t>
        </is>
      </c>
      <c r="B18" s="2">
        <v>7</v>
      </c>
    </row>
    <row r="19">
      <c r="A19" s="2" t="inlineStr">
        <is>
          <t xml:space="preserve">Auth</t>
        </is>
      </c>
      <c r="B19" s="2">
        <v>7</v>
      </c>
    </row>
    <row r="20">
      <c r="A20" s="2" t="inlineStr">
        <is>
          <t xml:space="preserve">Platform / company admin</t>
        </is>
      </c>
      <c r="B20" s="2">
        <v>6</v>
      </c>
    </row>
    <row r="21">
      <c r="A21" s="2" t="inlineStr">
        <is>
          <t xml:space="preserve">Knowledge Base</t>
        </is>
      </c>
      <c r="B21" s="2">
        <v>5</v>
      </c>
    </row>
    <row r="22">
      <c r="A22" s="2" t="inlineStr">
        <is>
          <t xml:space="preserve">Command palette</t>
        </is>
      </c>
      <c r="B22" s="2">
        <v>4</v>
      </c>
    </row>
    <row r="23">
      <c r="A23" s="2" t="inlineStr">
        <is>
          <t xml:space="preserve">Tasks</t>
        </is>
      </c>
      <c r="B23" s="2">
        <v>4</v>
      </c>
    </row>
    <row r="24">
      <c r="A24" s="2" t="inlineStr">
        <is>
          <t xml:space="preserve">Other (nav, account, notifications, workday)</t>
        </is>
      </c>
      <c r="B24" s="2">
        <v>40</v>
      </c>
    </row>
    <row r="25">
      <c r="A25" s="1" t="inlineStr">
        <is>
          <t xml:space="preserve">Total distinct actions</t>
        </is>
      </c>
      <c r="B25" s="1">
        <v>364</v>
      </c>
    </row>
    <row r="27">
      <c r="A27" s="5" t="inlineStr">
        <is>
          <t xml:space="preserve">Counted from the source: distinct data-action handlers per module. The checklist covers each module’s core loop rather than all 364 individually; destructive paths are listed in full.</t>
        </is>
      </c>
    </row>
  </sheetData>
</worksheet>
</file>