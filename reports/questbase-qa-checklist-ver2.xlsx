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\Work\quest-hq-command-center-rom\reports\"/>
    </mc:Choice>
  </mc:AlternateContent>
  <xr:revisionPtr revIDLastSave="0" documentId="13_ncr:1_{A58D4055-85A2-48C6-BEA7-C07806D33DE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Checklist" sheetId="2" r:id="rId2"/>
    <sheet name="Coverag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<sst xmlns="http://schemas.openxmlformats.org/spreadsheetml/2006/main" count="830" uniqueCount="421">
  <si>
    <t>Questbase QA sweep</t>
  </si>
  <si>
    <t>Build 5ed3f48</t>
  </si>
  <si>
    <t>Set Result on the Checklist sheet; these totals follow automatically.</t>
  </si>
  <si>
    <t>Overall</t>
  </si>
  <si>
    <t>Count</t>
  </si>
  <si>
    <t>Pass</t>
  </si>
  <si>
    <t>Fail</t>
  </si>
  <si>
    <t>Blocked</t>
  </si>
  <si>
    <t>Not tested</t>
  </si>
  <si>
    <t>N/A</t>
  </si>
  <si>
    <t>Total checks</t>
  </si>
  <si>
    <t>By section</t>
  </si>
  <si>
    <t>Total</t>
  </si>
  <si>
    <t>Before you start</t>
  </si>
  <si>
    <t>Smoke — every route loads</t>
  </si>
  <si>
    <t>Shipped in the last two days</t>
  </si>
  <si>
    <t>Destructive and password-gated</t>
  </si>
  <si>
    <t>Quest CRM</t>
  </si>
  <si>
    <t>Workspace and App Builder</t>
  </si>
  <si>
    <t>Operations, finance and estimating</t>
  </si>
  <si>
    <t>Messages, notifications and search</t>
  </si>
  <si>
    <t>Company, users and platform</t>
  </si>
  <si>
    <t>Cross-cutting</t>
  </si>
  <si>
    <t>Known issues — do not report these</t>
  </si>
  <si>
    <t>Critical checks outstanding</t>
  </si>
  <si>
    <t>ID</t>
  </si>
  <si>
    <t>Section</t>
  </si>
  <si>
    <t>Priority</t>
  </si>
  <si>
    <t>Check</t>
  </si>
  <si>
    <t>How to test / what to expect</t>
  </si>
  <si>
    <t>Flags</t>
  </si>
  <si>
    <t>Result</t>
  </si>
  <si>
    <t>Tester</t>
  </si>
  <si>
    <t>Date</t>
  </si>
  <si>
    <t>Notes</t>
  </si>
  <si>
    <t>PREP-01</t>
  </si>
  <si>
    <t>Start</t>
  </si>
  <si>
    <t>Confirm the build under test</t>
  </si>
  <si>
    <t>Open the app and check the build id in the sidebar header. It should read 5ed3f48 or later. An older build means you are testing yesterday's bugs.</t>
  </si>
  <si>
    <t>PREP-02</t>
  </si>
  <si>
    <t>Have two accounts ready</t>
  </si>
  <si>
    <t>An owner account and a limited-role member in the same company. Permission gates cannot be tested from an owner account — everything passes.</t>
  </si>
  <si>
    <t>blocks permissions</t>
  </si>
  <si>
    <t>PREP-03</t>
  </si>
  <si>
    <t>Open the browser console and leave it open</t>
  </si>
  <si>
    <t>A red error in the console is a fail even when the screen looks right. Note the first error, not the tenth — later ones are usually consequences.</t>
  </si>
  <si>
    <t>PREP-04</t>
  </si>
  <si>
    <t>Decide what a fail means</t>
  </si>
  <si>
    <t>Fail = wrong result, lost data, a dead control, or a console error. Not a fail: anything in the Known issues section at the bottom.</t>
  </si>
  <si>
    <t>SMOKE-01</t>
  </si>
  <si>
    <t>P0</t>
  </si>
  <si>
    <t>/dashboard</t>
  </si>
  <si>
    <t>Loads, shows content (not an empty shell or a stuck loader), no console error.</t>
  </si>
  <si>
    <t>SMOKE-02</t>
  </si>
  <si>
    <t>/workday</t>
  </si>
  <si>
    <t>SMOKE-03</t>
  </si>
  <si>
    <t>/jobs</t>
  </si>
  <si>
    <t>SMOKE-04</t>
  </si>
  <si>
    <t>/tasks</t>
  </si>
  <si>
    <t>SMOKE-05</t>
  </si>
  <si>
    <t>/files</t>
  </si>
  <si>
    <t>SMOKE-06</t>
  </si>
  <si>
    <t>/client-portals</t>
  </si>
  <si>
    <t>SMOKE-07</t>
  </si>
  <si>
    <t>/workspaces</t>
  </si>
  <si>
    <t>SMOKE-08</t>
  </si>
  <si>
    <t>/forms</t>
  </si>
  <si>
    <t>SMOKE-09</t>
  </si>
  <si>
    <t>/analytics</t>
  </si>
  <si>
    <t>SMOKE-10</t>
  </si>
  <si>
    <t>/crm</t>
  </si>
  <si>
    <t>SMOKE-11</t>
  </si>
  <si>
    <t>/proposals</t>
  </si>
  <si>
    <t>SMOKE-12</t>
  </si>
  <si>
    <t>/underwriter</t>
  </si>
  <si>
    <t>SMOKE-13</t>
  </si>
  <si>
    <t>/finance</t>
  </si>
  <si>
    <t>SMOKE-14</t>
  </si>
  <si>
    <t>/messages</t>
  </si>
  <si>
    <t>SMOKE-15</t>
  </si>
  <si>
    <t>/calendar</t>
  </si>
  <si>
    <t>SMOKE-16</t>
  </si>
  <si>
    <t>/users</t>
  </si>
  <si>
    <t>SMOKE-17</t>
  </si>
  <si>
    <t>/settings</t>
  </si>
  <si>
    <t>SMOKE-18</t>
  </si>
  <si>
    <t>/time</t>
  </si>
  <si>
    <t>SMOKE-19</t>
  </si>
  <si>
    <t>/approvals</t>
  </si>
  <si>
    <t>SMOKE-20</t>
  </si>
  <si>
    <t>/clock</t>
  </si>
  <si>
    <t>SMOKE-21</t>
  </si>
  <si>
    <t>/team-chart</t>
  </si>
  <si>
    <t>NEW-01</t>
  </si>
  <si>
    <t>P1</t>
  </si>
  <si>
    <t>Job saves with no client</t>
  </si>
  <si>
    <t>Add job → fill only the name → Save. Expect: it saves. This failed on a foreign key before; if it errors again, stop and report immediately.</t>
  </si>
  <si>
    <t>critical, new, was broken</t>
  </si>
  <si>
    <t>NEW-02</t>
  </si>
  <si>
    <t>Clear activity log — wrong password refused</t>
  </si>
  <si>
    <t>Configure workspace → Clear log → enter a wrong password → Clear. Expect: "Incorrect password", log untouched.</t>
  </si>
  <si>
    <t>critical, new, destructive</t>
  </si>
  <si>
    <t>NEW-03</t>
  </si>
  <si>
    <t>Clear activity log — correct password works</t>
  </si>
  <si>
    <t>Repeat with the right password. Expect: log cleared, exactly one entry left saying who cleared it and how many went.</t>
  </si>
  <si>
    <t>NEW-04</t>
  </si>
  <si>
    <t>Clearing the log leaves the feed alone</t>
  </si>
  <si>
    <t>After clearing, check the workspace Activity feed. Expect: posts, files and links are all still there. Only the action log is cleared.</t>
  </si>
  <si>
    <t>NEW-05</t>
  </si>
  <si>
    <t>The password field is typeable</t>
  </si>
  <si>
    <t>Click into the password box and type. Expect: characters appear in it. Previously keystrokes were stolen by the command palette.</t>
  </si>
  <si>
    <t>was broken</t>
  </si>
  <si>
    <t>NEW-06</t>
  </si>
  <si>
    <t>Configure workspace header</t>
  </si>
  <si>
    <t>Expect: Clear log, Save workspace and Close along the top; no Cancel button at the bottom.</t>
  </si>
  <si>
    <t>new</t>
  </si>
  <si>
    <t>NEW-07</t>
  </si>
  <si>
    <t>Enter still saves</t>
  </si>
  <si>
    <t>In Configure workspace, put the cursor in the name field and press Enter. Expect: it saves, same as clicking Save.</t>
  </si>
  <si>
    <t>NEW-08</t>
  </si>
  <si>
    <t>Saving a workspace stays put</t>
  </si>
  <si>
    <t>Rename a workspace from the sidebar gear while on the Activity page. Expect: you stay on Activity. It used to throw you to Settings.</t>
  </si>
  <si>
    <t>NEW-09</t>
  </si>
  <si>
    <t>Activity log shows date and time</t>
  </si>
  <si>
    <t>Expect: each entry reads like "Aug 3, 2026 · 10:52 AM" followed by the relative time.</t>
  </si>
  <si>
    <t>NEW-10</t>
  </si>
  <si>
    <t>Select one job and delete it</t>
  </si>
  <si>
    <t>Jobs → List → tick one row → Delete 1. Expect: password prompt, then it goes to the Recycle Bin.</t>
  </si>
  <si>
    <t>NEW-11</t>
  </si>
  <si>
    <t>Select several jobs and delete them</t>
  </si>
  <si>
    <t>Tick three → Delete 3. Expect: a progress bar counting "1 of 3", "2 of 3", then all three in the Recycle Bin.</t>
  </si>
  <si>
    <t>NEW-12</t>
  </si>
  <si>
    <t>Deleted jobs restore</t>
  </si>
  <si>
    <t>Recycle Bin → restore them. Expect: they return to the Jobs list intact.</t>
  </si>
  <si>
    <t>critical</t>
  </si>
  <si>
    <t>NEW-13</t>
  </si>
  <si>
    <t>Select-all respects the filter</t>
  </si>
  <si>
    <t>Filter the Jobs list, tick select-all, clear the filter. Expect: only the filtered rows are ticked.</t>
  </si>
  <si>
    <t>NEW-14</t>
  </si>
  <si>
    <t>Ticking a row does not open the job</t>
  </si>
  <si>
    <t>Click a row's checkbox. Expect: it ticks and you stay on the list.</t>
  </si>
  <si>
    <t>NEW-15</t>
  </si>
  <si>
    <t>Bulk delete is hidden from a limited role</t>
  </si>
  <si>
    <t>As the limited account, select jobs. Expect: no Delete button.</t>
  </si>
  <si>
    <t>critical, permissions</t>
  </si>
  <si>
    <t>NEW-16</t>
  </si>
  <si>
    <t>Only one scrollbar</t>
  </si>
  <si>
    <t>On the dashboard and workspaces pages. Expect: one scrollbar on the content, none on the window.</t>
  </si>
  <si>
    <t>NEW-17</t>
  </si>
  <si>
    <t>App strip drag</t>
  </si>
  <si>
    <t>Workspaces → hold left button on the app strip and drag. Expect: it pans and glides to a stop; a click still opens an app.</t>
  </si>
  <si>
    <t>NEW-18</t>
  </si>
  <si>
    <t>App strip keeps its place</t>
  </si>
  <si>
    <t>Scroll the app strip sideways, then click an app. Expect: the strip stays where you left it.</t>
  </si>
  <si>
    <t>NEW-19</t>
  </si>
  <si>
    <t>Command palette over a dialog</t>
  </si>
  <si>
    <t>Open any dialog, press Ctrl+K. Expect: the palette does not open over it.</t>
  </si>
  <si>
    <t>NEW-20</t>
  </si>
  <si>
    <t>Sidebar themes and icon packs</t>
  </si>
  <si>
    <t>Settings → Appearance → try each sidebar theme and icon pack. Expect: icons all render (no blank squares), text stays readable on every theme.</t>
  </si>
  <si>
    <t>NEW-21</t>
  </si>
  <si>
    <t>Appearance is per-account</t>
  </si>
  <si>
    <t>Change your sidebar theme, then check the limited account. Expect: their appearance is unchanged.</t>
  </si>
  <si>
    <t>DEL-01</t>
  </si>
  <si>
    <t>Recycle-bin deletes across records</t>
  </si>
  <si>
    <t>Delete one of each: contact, job, quote, task, file, form, client portal, knowledge article. Expect: each confirms first, then appears in the Recycle Bin.</t>
  </si>
  <si>
    <t>DEL-02</t>
  </si>
  <si>
    <t>Restore from the Recycle Bin</t>
  </si>
  <si>
    <t>Restore each one. Expect: the record comes back where it was, with its fields intact.</t>
  </si>
  <si>
    <t>DEL-03</t>
  </si>
  <si>
    <t>Undo immediately after deleting</t>
  </si>
  <si>
    <t>Delete a record and use the undo on the toast. Expect: it comes straight back.</t>
  </si>
  <si>
    <t>undo-recycle-delete</t>
  </si>
  <si>
    <t>DEL-04</t>
  </si>
  <si>
    <t>Permanent delete really is permanent</t>
  </si>
  <si>
    <t>Recycle Bin → permanently delete one item. Expect: a distinct, stronger confirmation, then it is gone for good.</t>
  </si>
  <si>
    <t>critical, destructive</t>
  </si>
  <si>
    <t>DEL-05</t>
  </si>
  <si>
    <t>Empty expired items</t>
  </si>
  <si>
    <t>Expect: it confirms, and removes only expired items — not everything in the bin.</t>
  </si>
  <si>
    <t>DEL-06</t>
  </si>
  <si>
    <t>Delete a company</t>
  </si>
  <si>
    <t>Owner only. Expect: a confirmation that names the company and requires deliberate confirmation. Do this on a throwaway company, never a real one.</t>
  </si>
  <si>
    <t>DEL-07</t>
  </si>
  <si>
    <t>Revoke a client portal link</t>
  </si>
  <si>
    <t>Expect: the old public link stops working. Test the link in a private window before and after.</t>
  </si>
  <si>
    <t>DEL-08</t>
  </si>
  <si>
    <t>Regenerate a client portal link</t>
  </si>
  <si>
    <t>Expect: a new link works and the old one does not.</t>
  </si>
  <si>
    <t>DEL-09</t>
  </si>
  <si>
    <t>Revoke an invite</t>
  </si>
  <si>
    <t>Expect: the invite code no longer lets anyone join.</t>
  </si>
  <si>
    <t>DEL-10</t>
  </si>
  <si>
    <t>Delete a role</t>
  </si>
  <si>
    <t>Expect: confirmation, and people holding that role are handled sensibly rather than left without access silently.</t>
  </si>
  <si>
    <t>DEL-11</t>
  </si>
  <si>
    <t>Delete a pipeline stage that has records</t>
  </si>
  <si>
    <t>Expect: it says how many records are affected, and offers to move them or clear the stage. Records are kept either way.</t>
  </si>
  <si>
    <t>DEL-12</t>
  </si>
  <si>
    <t>Reset dashboard layout</t>
  </si>
  <si>
    <t>Expect: confirmation, then default widgets return.</t>
  </si>
  <si>
    <t>DEL-13</t>
  </si>
  <si>
    <t>Reset appearance</t>
  </si>
  <si>
    <t>Expect: your own appearance returns to default and nobody else's changes.</t>
  </si>
  <si>
    <t>DEL-14</t>
  </si>
  <si>
    <t>Every destructive action as a limited role</t>
  </si>
  <si>
    <t>Repeat the deletes above as the limited account. Expect: refused or not offered — never a silent failure that looks like success.</t>
  </si>
  <si>
    <t>CRM-01</t>
  </si>
  <si>
    <t>Modules</t>
  </si>
  <si>
    <t>Contacts — full loop</t>
  </si>
  <si>
    <t>Create → edit → change stage → add a note and a task → delete. 33 actions live here, the largest surface in the app.</t>
  </si>
  <si>
    <t>33 actions</t>
  </si>
  <si>
    <t>CRM-02</t>
  </si>
  <si>
    <t>Contacts — bulk and import</t>
  </si>
  <si>
    <t>Select several → label, campaign, email. Then import a small CSV and run dedupe.</t>
  </si>
  <si>
    <t>CRM-03</t>
  </si>
  <si>
    <t>Contacts — convert to quote</t>
  </si>
  <si>
    <t>Expect: the quote carries the contact's details across.</t>
  </si>
  <si>
    <t>CRM-04</t>
  </si>
  <si>
    <t>Jobs — full loop</t>
  </si>
  <si>
    <t>Create → edit → move stage on the board → open the record → add photos → delete.</t>
  </si>
  <si>
    <t>15 actions</t>
  </si>
  <si>
    <t>CRM-05</t>
  </si>
  <si>
    <t>Jobs — board drag</t>
  </si>
  <si>
    <t>Drag a job between pipeline stages. Expect: the stage sticks after a refresh, and any stage automation fires.</t>
  </si>
  <si>
    <t>CRM-06</t>
  </si>
  <si>
    <t>Quotes — full loop</t>
  </si>
  <si>
    <t>Create → add and remove line items → change stage → convert to job.</t>
  </si>
  <si>
    <t>9 actions</t>
  </si>
  <si>
    <t>CRM-07</t>
  </si>
  <si>
    <t>Proposals — build and share</t>
  </si>
  <si>
    <t>Open the builder → edit → copy the public link → open it in a private window → export.</t>
  </si>
  <si>
    <t>8 actions</t>
  </si>
  <si>
    <t>CRM-08</t>
  </si>
  <si>
    <t>Workday</t>
  </si>
  <si>
    <t>Work through the next-step flow: open an item, complete it, skip one, use a quick action.</t>
  </si>
  <si>
    <t>CRM-09</t>
  </si>
  <si>
    <t>Record history</t>
  </si>
  <si>
    <t>Open History on a contact, job and quote. Expect: it loads against the right record and shows changes, or an honest empty state.</t>
  </si>
  <si>
    <t>WS-01</t>
  </si>
  <si>
    <t>App Builder — create an app</t>
  </si>
  <si>
    <t>New app → add fields of several types → add records → edit → delete.</t>
  </si>
  <si>
    <t>36 actions</t>
  </si>
  <si>
    <t>WS-02</t>
  </si>
  <si>
    <t>Field types round-trip</t>
  </si>
  <si>
    <t>Add one of each field type, fill it, save, reopen. Expect: every value comes back exactly as entered.</t>
  </si>
  <si>
    <t>WS-03</t>
  </si>
  <si>
    <t>Pipeline stages</t>
  </si>
  <si>
    <t>Manage stages → add, rename, reorder, recolour, delete. Expect: board columns follow.</t>
  </si>
  <si>
    <t>WS-04</t>
  </si>
  <si>
    <t>Board view</t>
  </si>
  <si>
    <t>Switch to board, drag records between columns. Expect: no jump back to the top after a drop.</t>
  </si>
  <si>
    <t>WS-05</t>
  </si>
  <si>
    <t>Stage automations</t>
  </si>
  <si>
    <t>Create a rule on a stage change, trigger it. Expect: it fires once, on the change only — not on every save.</t>
  </si>
  <si>
    <t>WS-06</t>
  </si>
  <si>
    <t>Cross-company app install</t>
  </si>
  <si>
    <t>Install an app into another company you own: pick company, pick workspace. Expect: it lands in the right place.</t>
  </si>
  <si>
    <t>WS-07</t>
  </si>
  <si>
    <t>Import and export</t>
  </si>
  <si>
    <t>Export an app's records to CSV, print, then re-import. Expect: Download, Export, Import and Print all work.</t>
  </si>
  <si>
    <t>WS-08</t>
  </si>
  <si>
    <t>Reports tab</t>
  </si>
  <si>
    <t>Expect: charts render with correct totals — and an empty app reports zero, not one.</t>
  </si>
  <si>
    <t>WS-09</t>
  </si>
  <si>
    <t>Workspace backups</t>
  </si>
  <si>
    <t>Create a backup, download it, restore it. Expect: the restore returns the structure intact.</t>
  </si>
  <si>
    <t>WS-10</t>
  </si>
  <si>
    <t>Forms</t>
  </si>
  <si>
    <t>Build a form → add questions and options → preview → publish → submit it publicly → read the response → create a contact/task/job from it.</t>
  </si>
  <si>
    <t>40 actions</t>
  </si>
  <si>
    <t>WS-11</t>
  </si>
  <si>
    <t>Client portals</t>
  </si>
  <si>
    <t>Create → upload a document → annotate, place markers, zoom, undo/redo → comment → export.</t>
  </si>
  <si>
    <t>34 actions</t>
  </si>
  <si>
    <t>OPS-01</t>
  </si>
  <si>
    <t>Files and Drive</t>
  </si>
  <si>
    <t>Upload → move → copy → select several → transfer → download → delete.</t>
  </si>
  <si>
    <t>16 actions</t>
  </si>
  <si>
    <t>OPS-02</t>
  </si>
  <si>
    <t>Finance</t>
  </si>
  <si>
    <t>Create an invoice, an expense, a payment and a vendor; edit each.</t>
  </si>
  <si>
    <t>7 actions</t>
  </si>
  <si>
    <t>OPS-03</t>
  </si>
  <si>
    <t>Price Book</t>
  </si>
  <si>
    <t>Add a vendor and material → edit cost → sort → categorise → import → delete a row.</t>
  </si>
  <si>
    <t>13 actions</t>
  </si>
  <si>
    <t>OPS-04</t>
  </si>
  <si>
    <t>Calendar</t>
  </si>
  <si>
    <t>Add an event → edit → move between views → change scope → delete.</t>
  </si>
  <si>
    <t>OPS-05</t>
  </si>
  <si>
    <t>Time and clock</t>
  </si>
  <si>
    <t>Clock in, clock out. Expect: the entry lands with the right duration on the clock dashboard.</t>
  </si>
  <si>
    <t>OPS-06</t>
  </si>
  <si>
    <t>Approvals</t>
  </si>
  <si>
    <t>Submit something for approval, then approve and reject as the right role.</t>
  </si>
  <si>
    <t>OPS-07</t>
  </si>
  <si>
    <t>EOD reports</t>
  </si>
  <si>
    <t>Write, edit, review and export a report to CSV.</t>
  </si>
  <si>
    <t>OPS-08</t>
  </si>
  <si>
    <t>Team workload and team chart</t>
  </si>
  <si>
    <t>Expect: both render with real people and no console error.</t>
  </si>
  <si>
    <t>OPS-09</t>
  </si>
  <si>
    <t>Knowledge base</t>
  </si>
  <si>
    <t>Create → edit → delete an article.</t>
  </si>
  <si>
    <t>5 actions</t>
  </si>
  <si>
    <t>OPS-10</t>
  </si>
  <si>
    <t>Tasks</t>
  </si>
  <si>
    <t>Create from several places (record, palette, workspace), complete, delete. Check a recurring task rolls forward.</t>
  </si>
  <si>
    <t>MSG-01</t>
  </si>
  <si>
    <t>Direct messages</t>
  </si>
  <si>
    <t>Start a new direct message, send, attach a file, edit, delete.</t>
  </si>
  <si>
    <t>23 actions</t>
  </si>
  <si>
    <t>MSG-02</t>
  </si>
  <si>
    <t>Group messages</t>
  </si>
  <si>
    <t>Create a group, set its icon, manage members.</t>
  </si>
  <si>
    <t>MSG-03</t>
  </si>
  <si>
    <t>Message dock</t>
  </si>
  <si>
    <t>Open the floating dock, switch tabs, open a conversation, minimise, close.</t>
  </si>
  <si>
    <t>MSG-04</t>
  </si>
  <si>
    <t>Presence ring</t>
  </si>
  <si>
    <t>Expect: a green ring on people who are online, grey on those who are not.</t>
  </si>
  <si>
    <t>MSG-05</t>
  </si>
  <si>
    <t>Notifications</t>
  </si>
  <si>
    <t>Open the bell, open an item, mark all read.</t>
  </si>
  <si>
    <t>MSG-06</t>
  </si>
  <si>
    <t>Command palette</t>
  </si>
  <si>
    <t>Ctrl+K → search a record → run a command → create a task and a contact from it.</t>
  </si>
  <si>
    <t>MSG-07</t>
  </si>
  <si>
    <t>Global search</t>
  </si>
  <si>
    <t>Type in the topbar search. Expect: the palette opens with your text carried in.</t>
  </si>
  <si>
    <t>ADM-01</t>
  </si>
  <si>
    <t>Users and invites</t>
  </si>
  <si>
    <t>Send an invite, copy the code and link, revoke it. Approve and reject a join request.</t>
  </si>
  <si>
    <t>11 actions</t>
  </si>
  <si>
    <t>ADM-02</t>
  </si>
  <si>
    <t>Roles and permissions</t>
  </si>
  <si>
    <t>Create a role, set permissions, assign it, then use "View as role" to check what that person sees.</t>
  </si>
  <si>
    <t>ADM-03</t>
  </si>
  <si>
    <t>Settings sweep</t>
  </si>
  <si>
    <t>Work through every settings tab. Expect: no blank page on any of them.</t>
  </si>
  <si>
    <t>ADM-04</t>
  </si>
  <si>
    <t>Company switching</t>
  </si>
  <si>
    <t>Switch between companies. Expect: data changes completely — no records leak between them.</t>
  </si>
  <si>
    <t>ADM-05</t>
  </si>
  <si>
    <t>Create a company with a new name</t>
  </si>
  <si>
    <t>Expect: it is created and you are its owner.</t>
  </si>
  <si>
    <t>ADM-06</t>
  </si>
  <si>
    <t>Create a company with a duplicate name</t>
  </si>
  <si>
    <t>Expect (today): it saves, giving you two companies with the same name. This is current behaviour, not a bug — flag it if you want it blocked.</t>
  </si>
  <si>
    <t>ADM-07</t>
  </si>
  <si>
    <t>Master panel</t>
  </si>
  <si>
    <t>As the Lumen master account, open the Master section. Expect: it opens and lists companies.</t>
  </si>
  <si>
    <t>critical, was broken</t>
  </si>
  <si>
    <t>ADM-08</t>
  </si>
  <si>
    <t>Profile and avatar</t>
  </si>
  <si>
    <t>Change your name, upload and crop an avatar.</t>
  </si>
  <si>
    <t>ADM-09</t>
  </si>
  <si>
    <t>Sign out and back in</t>
  </si>
  <si>
    <t>Expect: you land where you should, with your company and workspace intact.</t>
  </si>
  <si>
    <t>X-01</t>
  </si>
  <si>
    <t>Workspace scoping</t>
  </si>
  <si>
    <t>Switch workspace and check contacts, jobs, quotes, tasks and files. Expect: each shows only that workspace's records.</t>
  </si>
  <si>
    <t>X-02</t>
  </si>
  <si>
    <t>Narrow window</t>
  </si>
  <si>
    <t>Resize to roughly half width and re-walk the dashboard, jobs and workspaces. Expect: nothing clipped, no sideways page scroll, still one scrollbar.</t>
  </si>
  <si>
    <t>X-03</t>
  </si>
  <si>
    <t>Phone width</t>
  </si>
  <si>
    <t>Open on a phone or a 400px window. Expect: the mobile nav works and content is reachable.</t>
  </si>
  <si>
    <t>X-04</t>
  </si>
  <si>
    <t>Escape closes dialogs</t>
  </si>
  <si>
    <t>Open any dialog and press Escape. Expect: it closes and focus returns to the button that opened it.</t>
  </si>
  <si>
    <t>X-05</t>
  </si>
  <si>
    <t>Tab stays inside a dialog</t>
  </si>
  <si>
    <t>Open a dialog and hold Tab. Expect: focus cycles inside it, never onto the page behind.</t>
  </si>
  <si>
    <t>X-06</t>
  </si>
  <si>
    <t>Refresh mid-flow</t>
  </si>
  <si>
    <t>Reload the page on several routes. Expect: you land back on the same route, signed in.</t>
  </si>
  <si>
    <t>X-07</t>
  </si>
  <si>
    <t>Unsaved-draft recovery</t>
  </si>
  <si>
    <t>Start a job or contact, leave without saving, come back. Expect: Restore or Discard is offered, and Restore returns the exact values.</t>
  </si>
  <si>
    <t>X-08</t>
  </si>
  <si>
    <t>Console is clean at the end</t>
  </si>
  <si>
    <t>After the whole sweep. Expect: no red errors. Note any that appeared and what you were doing.</t>
  </si>
  <si>
    <t>KNOWN-01</t>
  </si>
  <si>
    <t>Info</t>
  </si>
  <si>
    <t>Tickets and Templates do nothing</t>
  </si>
  <si>
    <t>They are future navigation entries, deliberately not implemented.</t>
  </si>
  <si>
    <t>KNOWN-02</t>
  </si>
  <si>
    <t>Workspace SMS is switched off</t>
  </si>
  <si>
    <t>Intentionally disabled until the routing model is made workspace-safe.</t>
  </si>
  <si>
    <t>KNOWN-03</t>
  </si>
  <si>
    <t>Vite warns about a large bundle at build time</t>
  </si>
  <si>
    <t>Known and budgeted. The bundle-budget gate is what matters, and it passes.</t>
  </si>
  <si>
    <t>KNOWN-04</t>
  </si>
  <si>
    <t>Preview deployments use a different database</t>
  </si>
  <si>
    <t>A preview URL proves the build, not the workspace or task flows. Test on production.</t>
  </si>
  <si>
    <t>KNOWN-05</t>
  </si>
  <si>
    <t>A second scrollbar, if you still see one</t>
  </si>
  <si>
    <t>Add ?diag=layout to the URL and screenshot the readout instead of reporting it plainly — the readout names the element.</t>
  </si>
  <si>
    <t>Module</t>
  </si>
  <si>
    <t>Clickable actions</t>
  </si>
  <si>
    <t>Forms (build, publish, responses)</t>
  </si>
  <si>
    <t>Workspaces / App Builder</t>
  </si>
  <si>
    <t>Contacts</t>
  </si>
  <si>
    <t>Messages</t>
  </si>
  <si>
    <t>Dashboard</t>
  </si>
  <si>
    <t>Files / Drive</t>
  </si>
  <si>
    <t>Jobs</t>
  </si>
  <si>
    <t>Settings / Appearance</t>
  </si>
  <si>
    <t>Users, roles, invites</t>
  </si>
  <si>
    <t>Quotes</t>
  </si>
  <si>
    <t>Proposals</t>
  </si>
  <si>
    <t>Time, clock, approvals, EOD</t>
  </si>
  <si>
    <t>Recycle Bin</t>
  </si>
  <si>
    <t>Auth</t>
  </si>
  <si>
    <t>Platform / company admin</t>
  </si>
  <si>
    <t>Knowledge Base</t>
  </si>
  <si>
    <t>Other (nav, account, notifications, workday)</t>
  </si>
  <si>
    <t>Total distinct actions</t>
  </si>
  <si>
    <t>Counted from the source: distinct data-action handlers per module. The checklist covers each module’s core loop rather than all 364 individually; destructive paths are listed in full.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</si>
</sst>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color rgb="FF7A6E62"/>
      <name val="Calibri"/>
    </font>
    <font>
      <b/>
      <sz val="15"/>
      <color rgb="FF1B17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C3B10"/>
        <bgColor indexed="64"/>
      </patternFill>
    </fill>
    <fill>
      <patternFill patternType="solid">
        <fgColor rgb="FFF6F2EC"/>
        <bgColor indexed="64"/>
      </patternFill>
    </fill>
  </fills>
  <borders count="2">
    <border>
      <left/>
      <right/>
      <top/>
      <bottom/>
      <diagonal/>
    </border>
    <border>
      <left style="thin">
        <color rgb="FFE0D8CE"/>
      </left>
      <right style="thin">
        <color rgb="FFE0D8CE"/>
      </right>
      <top style="thin">
        <color rgb="FFE0D8CE"/>
      </top>
      <bottom style="thin">
        <color rgb="FFE0D8C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3">
    <dxf>
      <font>
        <color rgb="FF7A5200"/>
      </font>
      <fill>
        <patternFill>
          <bgColor rgb="FFFCF3E0"/>
        </patternFill>
      </fill>
    </dxf>
    <dxf>
      <font>
        <color rgb="FF14612F"/>
      </font>
      <fill>
        <patternFill>
          <bgColor rgb="FFE9F5ED"/>
        </patternFill>
      </fill>
    </dxf>
    <dxf>
      <font>
        <color rgb="FF8B1A1A"/>
      </font>
      <fill>
        <patternFill>
          <bgColor rgb="FFFBE7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opLeftCell="A5" workbookViewId="0">
      <selection activeCell="F24" sqref="F24"/>
    </sheetView>
  </sheetViews>
  <sheetFormatPr defaultRowHeight="14.4" x14ac:dyDescent="0.3"/>
  <cols>
    <col min="1" max="1" width="34" customWidth="1"/>
    <col min="2" max="6" width="13" customWidth="1"/>
  </cols>
  <sheetData>
    <row r="1" spans="1:6" ht="19.8" x14ac:dyDescent="0.4">
      <c r="A1" s="7" t="s">
        <v>0</v>
      </c>
    </row>
    <row r="2" spans="1:6" x14ac:dyDescent="0.3">
      <c r="A2" s="2" t="s">
        <v>1</v>
      </c>
    </row>
    <row r="3" spans="1:6" ht="28.8" x14ac:dyDescent="0.3">
      <c r="A3" s="5" t="s">
        <v>2</v>
      </c>
    </row>
    <row r="5" spans="1:6" x14ac:dyDescent="0.3">
      <c r="A5" s="1" t="s">
        <v>3</v>
      </c>
      <c r="B5" s="1" t="s">
        <v>4</v>
      </c>
    </row>
    <row r="6" spans="1:6" x14ac:dyDescent="0.3">
      <c r="A6" s="2" t="s">
        <v>5</v>
      </c>
      <c r="B6" s="2">
        <f>COUNTIF(Checklist!$G$2:$G$151,"Pass")</f>
        <v>0</v>
      </c>
    </row>
    <row r="7" spans="1:6" x14ac:dyDescent="0.3">
      <c r="A7" s="2" t="s">
        <v>6</v>
      </c>
      <c r="B7" s="2">
        <f>COUNTIF(Checklist!$G$2:$G$151,"Fail")</f>
        <v>0</v>
      </c>
    </row>
    <row r="8" spans="1:6" x14ac:dyDescent="0.3">
      <c r="A8" s="2" t="s">
        <v>7</v>
      </c>
      <c r="B8" s="2">
        <f>COUNTIF(Checklist!$G$2:$G$151,"Blocked")</f>
        <v>0</v>
      </c>
    </row>
    <row r="9" spans="1:6" x14ac:dyDescent="0.3">
      <c r="A9" s="2" t="s">
        <v>8</v>
      </c>
      <c r="B9" s="2">
        <f>COUNTIF(Checklist!$G$2:$G$151,"Not tested")</f>
        <v>114</v>
      </c>
    </row>
    <row r="10" spans="1:6" x14ac:dyDescent="0.3">
      <c r="A10" s="2" t="s">
        <v>9</v>
      </c>
      <c r="B10" s="2">
        <f>COUNTIF(Checklist!$G$2:$G$151,"N/A")</f>
        <v>5</v>
      </c>
    </row>
    <row r="11" spans="1:6" x14ac:dyDescent="0.3">
      <c r="A11" s="1" t="s">
        <v>10</v>
      </c>
      <c r="B11" s="1">
        <v>119</v>
      </c>
    </row>
    <row r="13" spans="1:6" x14ac:dyDescent="0.3">
      <c r="A13" s="1" t="s">
        <v>11</v>
      </c>
      <c r="B13" s="1" t="s">
        <v>5</v>
      </c>
      <c r="C13" s="1" t="s">
        <v>6</v>
      </c>
      <c r="D13" s="1" t="s">
        <v>7</v>
      </c>
      <c r="E13" s="1" t="s">
        <v>8</v>
      </c>
      <c r="F13" s="1" t="s">
        <v>12</v>
      </c>
    </row>
    <row r="14" spans="1:6" x14ac:dyDescent="0.3">
      <c r="A14" s="2" t="s">
        <v>13</v>
      </c>
      <c r="B14" s="2">
        <f>COUNTIFS(Checklist!$B$2:$B$151,"Before you start",Checklist!$G$2:$G$151,"Pass")</f>
        <v>0</v>
      </c>
      <c r="C14" s="2">
        <f>COUNTIFS(Checklist!$B$2:$B$151,"Before you start",Checklist!$G$2:$G$151,"Fail")</f>
        <v>0</v>
      </c>
      <c r="D14" s="2">
        <f>COUNTIFS(Checklist!$B$2:$B$151,"Before you start",Checklist!$G$2:$G$151,"Blocked")</f>
        <v>0</v>
      </c>
      <c r="E14" s="2">
        <f>COUNTIFS(Checklist!$B$2:$B$151,"Before you start",Checklist!$G$2:$G$151,"Not tested")</f>
        <v>4</v>
      </c>
      <c r="F14" s="2">
        <f>COUNTIF(Checklist!$B$2:$B$151,"Before you start")</f>
        <v>4</v>
      </c>
    </row>
    <row r="15" spans="1:6" x14ac:dyDescent="0.3">
      <c r="A15" s="2" t="s">
        <v>14</v>
      </c>
      <c r="B15" s="2">
        <f>COUNTIFS(Checklist!$B$2:$B$151,"Smoke — every route loads",Checklist!$G$2:$G$151,"Pass")</f>
        <v>0</v>
      </c>
      <c r="C15" s="2">
        <f>COUNTIFS(Checklist!$B$2:$B$151,"Smoke — every route loads",Checklist!$G$2:$G$151,"Fail")</f>
        <v>0</v>
      </c>
      <c r="D15" s="2">
        <f>COUNTIFS(Checklist!$B$2:$B$151,"Smoke — every route loads",Checklist!$G$2:$G$151,"Blocked")</f>
        <v>0</v>
      </c>
      <c r="E15" s="2">
        <f>COUNTIFS(Checklist!$B$2:$B$151,"Smoke — every route loads",Checklist!$G$2:$G$151,"Not tested")</f>
        <v>21</v>
      </c>
      <c r="F15" s="2">
        <f>COUNTIF(Checklist!$B$2:$B$151,"Smoke — every route loads")</f>
        <v>21</v>
      </c>
    </row>
    <row r="16" spans="1:6" x14ac:dyDescent="0.3">
      <c r="A16" s="2" t="s">
        <v>15</v>
      </c>
      <c r="B16" s="2">
        <f>COUNTIFS(Checklist!$B$2:$B$151,"Shipped in the last two days",Checklist!$G$2:$G$151,"Pass")</f>
        <v>0</v>
      </c>
      <c r="C16" s="2">
        <f>COUNTIFS(Checklist!$B$2:$B$151,"Shipped in the last two days",Checklist!$G$2:$G$151,"Fail")</f>
        <v>0</v>
      </c>
      <c r="D16" s="2">
        <f>COUNTIFS(Checklist!$B$2:$B$151,"Shipped in the last two days",Checklist!$G$2:$G$151,"Blocked")</f>
        <v>0</v>
      </c>
      <c r="E16" s="2">
        <f>COUNTIFS(Checklist!$B$2:$B$151,"Shipped in the last two days",Checklist!$G$2:$G$151,"Not tested")</f>
        <v>21</v>
      </c>
      <c r="F16" s="2">
        <f>COUNTIF(Checklist!$B$2:$B$151,"Shipped in the last two days")</f>
        <v>21</v>
      </c>
    </row>
    <row r="17" spans="1:6" x14ac:dyDescent="0.3">
      <c r="A17" s="2" t="s">
        <v>16</v>
      </c>
      <c r="B17" s="2">
        <f>COUNTIFS(Checklist!$B$2:$B$151,"Destructive and password-gated",Checklist!$G$2:$G$151,"Pass")</f>
        <v>0</v>
      </c>
      <c r="C17" s="2">
        <f>COUNTIFS(Checklist!$B$2:$B$151,"Destructive and password-gated",Checklist!$G$2:$G$151,"Fail")</f>
        <v>0</v>
      </c>
      <c r="D17" s="2">
        <f>COUNTIFS(Checklist!$B$2:$B$151,"Destructive and password-gated",Checklist!$G$2:$G$151,"Blocked")</f>
        <v>0</v>
      </c>
      <c r="E17" s="2">
        <f>COUNTIFS(Checklist!$B$2:$B$151,"Destructive and password-gated",Checklist!$G$2:$G$151,"Not tested")</f>
        <v>14</v>
      </c>
      <c r="F17" s="2">
        <f>COUNTIF(Checklist!$B$2:$B$151,"Destructive and password-gated")</f>
        <v>14</v>
      </c>
    </row>
    <row r="18" spans="1:6" x14ac:dyDescent="0.3">
      <c r="A18" s="2" t="s">
        <v>17</v>
      </c>
      <c r="B18" s="2">
        <f>COUNTIFS(Checklist!$B$2:$B$151,"Quest CRM",Checklist!$G$2:$G$151,"Pass")</f>
        <v>0</v>
      </c>
      <c r="C18" s="2">
        <f>COUNTIFS(Checklist!$B$2:$B$151,"Quest CRM",Checklist!$G$2:$G$151,"Fail")</f>
        <v>0</v>
      </c>
      <c r="D18" s="2">
        <f>COUNTIFS(Checklist!$B$2:$B$151,"Quest CRM",Checklist!$G$2:$G$151,"Blocked")</f>
        <v>0</v>
      </c>
      <c r="E18" s="2">
        <f>COUNTIFS(Checklist!$B$2:$B$151,"Quest CRM",Checklist!$G$2:$G$151,"Not tested")</f>
        <v>9</v>
      </c>
      <c r="F18" s="2">
        <f>COUNTIF(Checklist!$B$2:$B$151,"Quest CRM")</f>
        <v>9</v>
      </c>
    </row>
    <row r="19" spans="1:6" x14ac:dyDescent="0.3">
      <c r="A19" s="2" t="s">
        <v>18</v>
      </c>
      <c r="B19" s="2">
        <f>COUNTIFS(Checklist!$B$2:$B$151,"Workspace and App Builder",Checklist!$G$2:$G$151,"Pass")</f>
        <v>0</v>
      </c>
      <c r="C19" s="2">
        <f>COUNTIFS(Checklist!$B$2:$B$151,"Workspace and App Builder",Checklist!$G$2:$G$151,"Fail")</f>
        <v>0</v>
      </c>
      <c r="D19" s="2">
        <f>COUNTIFS(Checklist!$B$2:$B$151,"Workspace and App Builder",Checklist!$G$2:$G$151,"Blocked")</f>
        <v>0</v>
      </c>
      <c r="E19" s="2">
        <f>COUNTIFS(Checklist!$B$2:$B$151,"Workspace and App Builder",Checklist!$G$2:$G$151,"Not tested")</f>
        <v>11</v>
      </c>
      <c r="F19" s="2">
        <f>COUNTIF(Checklist!$B$2:$B$151,"Workspace and App Builder")</f>
        <v>11</v>
      </c>
    </row>
    <row r="20" spans="1:6" x14ac:dyDescent="0.3">
      <c r="A20" s="2" t="s">
        <v>19</v>
      </c>
      <c r="B20" s="2">
        <f>COUNTIFS(Checklist!$B$2:$B$151,"Operations, finance and estimating",Checklist!$G$2:$G$151,"Pass")</f>
        <v>0</v>
      </c>
      <c r="C20" s="2">
        <f>COUNTIFS(Checklist!$B$2:$B$151,"Operations, finance and estimating",Checklist!$G$2:$G$151,"Fail")</f>
        <v>0</v>
      </c>
      <c r="D20" s="2">
        <f>COUNTIFS(Checklist!$B$2:$B$151,"Operations, finance and estimating",Checklist!$G$2:$G$151,"Blocked")</f>
        <v>0</v>
      </c>
      <c r="E20" s="2">
        <f>COUNTIFS(Checklist!$B$2:$B$151,"Operations, finance and estimating",Checklist!$G$2:$G$151,"Not tested")</f>
        <v>10</v>
      </c>
      <c r="F20" s="2">
        <f>COUNTIF(Checklist!$B$2:$B$151,"Operations, finance and estimating")</f>
        <v>10</v>
      </c>
    </row>
    <row r="21" spans="1:6" x14ac:dyDescent="0.3">
      <c r="A21" s="2" t="s">
        <v>20</v>
      </c>
      <c r="B21" s="2">
        <f>COUNTIFS(Checklist!$B$2:$B$151,"Messages, notifications and search",Checklist!$G$2:$G$151,"Pass")</f>
        <v>0</v>
      </c>
      <c r="C21" s="2">
        <f>COUNTIFS(Checklist!$B$2:$B$151,"Messages, notifications and search",Checklist!$G$2:$G$151,"Fail")</f>
        <v>0</v>
      </c>
      <c r="D21" s="2">
        <f>COUNTIFS(Checklist!$B$2:$B$151,"Messages, notifications and search",Checklist!$G$2:$G$151,"Blocked")</f>
        <v>0</v>
      </c>
      <c r="E21" s="2">
        <f>COUNTIFS(Checklist!$B$2:$B$151,"Messages, notifications and search",Checklist!$G$2:$G$151,"Not tested")</f>
        <v>7</v>
      </c>
      <c r="F21" s="2">
        <f>COUNTIF(Checklist!$B$2:$B$151,"Messages, notifications and search")</f>
        <v>7</v>
      </c>
    </row>
    <row r="22" spans="1:6" x14ac:dyDescent="0.3">
      <c r="A22" s="2" t="s">
        <v>21</v>
      </c>
      <c r="B22" s="2">
        <f>COUNTIFS(Checklist!$B$2:$B$151,"Company, users and platform",Checklist!$G$2:$G$151,"Pass")</f>
        <v>0</v>
      </c>
      <c r="C22" s="2">
        <f>COUNTIFS(Checklist!$B$2:$B$151,"Company, users and platform",Checklist!$G$2:$G$151,"Fail")</f>
        <v>0</v>
      </c>
      <c r="D22" s="2">
        <f>COUNTIFS(Checklist!$B$2:$B$151,"Company, users and platform",Checklist!$G$2:$G$151,"Blocked")</f>
        <v>0</v>
      </c>
      <c r="E22" s="2">
        <f>COUNTIFS(Checklist!$B$2:$B$151,"Company, users and platform",Checklist!$G$2:$G$151,"Not tested")</f>
        <v>9</v>
      </c>
      <c r="F22" s="2">
        <f>COUNTIF(Checklist!$B$2:$B$151,"Company, users and platform")</f>
        <v>9</v>
      </c>
    </row>
    <row r="23" spans="1:6" x14ac:dyDescent="0.3">
      <c r="A23" s="2" t="s">
        <v>22</v>
      </c>
      <c r="B23" s="2">
        <f>COUNTIFS(Checklist!$B$2:$B$151,"Cross-cutting",Checklist!$G$2:$G$151,"Pass")</f>
        <v>0</v>
      </c>
      <c r="C23" s="2">
        <f>COUNTIFS(Checklist!$B$2:$B$151,"Cross-cutting",Checklist!$G$2:$G$151,"Fail")</f>
        <v>0</v>
      </c>
      <c r="D23" s="2">
        <f>COUNTIFS(Checklist!$B$2:$B$151,"Cross-cutting",Checklist!$G$2:$G$151,"Blocked")</f>
        <v>0</v>
      </c>
      <c r="E23" s="2">
        <f>COUNTIFS(Checklist!$B$2:$B$151,"Cross-cutting",Checklist!$G$2:$G$151,"Not tested")</f>
        <v>8</v>
      </c>
      <c r="F23" s="2">
        <f>COUNTIF(Checklist!$B$2:$B$151,"Cross-cutting")</f>
        <v>8</v>
      </c>
    </row>
    <row r="24" spans="1:6" x14ac:dyDescent="0.3">
      <c r="A24" s="2" t="s">
        <v>23</v>
      </c>
      <c r="B24" s="2">
        <f>COUNTIFS(Checklist!$B$2:$B$151,"Known issues — do not report these",Checklist!$G$2:$G$151,"Pass")</f>
        <v>0</v>
      </c>
      <c r="C24" s="2">
        <f>COUNTIFS(Checklist!$B$2:$B$151,"Known issues — do not report these",Checklist!$G$2:$G$151,"Fail")</f>
        <v>0</v>
      </c>
      <c r="D24" s="2">
        <f>COUNTIFS(Checklist!$B$2:$B$151,"Known issues — do not report these",Checklist!$G$2:$G$151,"Blocked")</f>
        <v>0</v>
      </c>
      <c r="E24" s="2">
        <f>COUNTIFS(Checklist!$B$2:$B$151,"Known issues — do not report these",Checklist!$G$2:$G$151,"Not tested")</f>
        <v>0</v>
      </c>
      <c r="F24" s="2">
        <f>COUNTIF(Checklist!$B$2:$B$151,"Known issues — do not report these")</f>
        <v>5</v>
      </c>
    </row>
    <row r="26" spans="1:6" x14ac:dyDescent="0.3">
      <c r="A26" s="1" t="s">
        <v>24</v>
      </c>
      <c r="B26" s="1">
        <f>COUNTIFS(Checklist!$F$2:$F$151,"*critical*",Checklist!$G$2:$G$151,"Not tested")</f>
        <v>23</v>
      </c>
    </row>
    <row r="28" spans="1:6">
      <c r="A28" s="1"/>
    </row>
    <row r="29" spans="1:6">
      <c r="A29" s="1" t="inlineStr">
        <is>
          <t>Owner pass vs member pass</t>
        </is>
      </c>
      <c r="B29" s="1" t="inlineStr">
        <is>
          <t>Owner</t>
        </is>
      </c>
      <c r="C29" s="1" t="inlineStr">
        <is>
          <t>Member</t>
        </is>
      </c>
    </row>
    <row r="30" spans="1:6">
      <c r="A30" s="2" t="inlineStr">
        <is>
          <t>Pass</t>
        </is>
      </c>
      <c r="B30" s="2">
        <f>COUNTIF(Checklist!$G$2:$G$151,"Pass")</f>
        <v>0</v>
      </c>
      <c r="C30" s="2">
        <f>COUNTIF(Checklist!$I$2:$I$151,"Pass")</f>
        <v>0</v>
      </c>
    </row>
    <row r="31" spans="1:6">
      <c r="A31" s="2" t="inlineStr">
        <is>
          <t>Fail</t>
        </is>
      </c>
      <c r="B31" s="2">
        <f>COUNTIF(Checklist!$G$2:$G$151,"Fail")</f>
        <v>0</v>
      </c>
      <c r="C31" s="2">
        <f>COUNTIF(Checklist!$I$2:$I$151,"Fail")</f>
        <v>0</v>
      </c>
    </row>
    <row r="32" spans="1:6">
      <c r="A32" s="2" t="inlineStr">
        <is>
          <t>Blocked</t>
        </is>
      </c>
      <c r="B32" s="2">
        <f>COUNTIF(Checklist!$G$2:$G$151,"Blocked")</f>
        <v>0</v>
      </c>
      <c r="C32" s="2">
        <f>COUNTIF(Checklist!$I$2:$I$151,"Blocked")</f>
        <v>0</v>
      </c>
    </row>
    <row r="33" spans="1:6">
      <c r="A33" s="2" t="inlineStr">
        <is>
          <t>Not tested</t>
        </is>
      </c>
      <c r="B33" s="2">
        <f>COUNTIF(Checklist!$G$2:$G$151,"Not tested")</f>
        <v>0</v>
      </c>
      <c r="C33" s="2">
        <f>COUNTIF(Checklist!$I$2:$I$151,"Not tested")</f>
        <v>0</v>
      </c>
    </row>
    <row r="34" spans="1:6">
      <c r="A34" s="2" t="inlineStr">
        <is>
          <t>N/A</t>
        </is>
      </c>
      <c r="B34" s="2">
        <f>COUNTIF(Checklist!$G$2:$G$151,"N/A")</f>
        <v>0</v>
      </c>
      <c r="C34" s="2">
        <f>COUNTIF(Checklist!$I$2:$I$151,"N/A")</f>
        <v>0</v>
      </c>
    </row>
    <row r="36" spans="1:6">
      <c r="A36" s="1" t="inlineStr">
        <is>
          <t>Critical (P0) still untested</t>
        </is>
      </c>
      <c r="B36" s="1" t="inlineStr">
        <is>
          <t>Owner</t>
        </is>
      </c>
      <c r="C36" s="1" t="inlineStr">
        <is>
          <t>Member</t>
        </is>
      </c>
    </row>
    <row r="37" spans="1:6">
      <c r="A37" s="2" t="inlineStr">
        <is>
          <t>Flagged critical</t>
        </is>
      </c>
      <c r="B37" s="2">
        <f>COUNTIFS(Checklist!$F$2:$F$151,"*critical*",Checklist!$G$2:$G$151,"Not tested")</f>
        <v>0</v>
      </c>
      <c r="C37" s="2">
        <f>COUNTIFS(Checklist!$F$2:$F$151,"*critical*",Checklist!$I$2:$I$151,"Not tested")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1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1" customWidth="1"/>
    <col min="2" max="2" width="26" customWidth="1"/>
    <col min="3" max="3" width="9" customWidth="1"/>
    <col min="4" max="4" width="40" customWidth="1"/>
    <col min="5" max="5" width="60" customWidth="1"/>
    <col min="6" max="6" width="14" customWidth="1"/>
    <col min="7" max="7" width="15" customWidth="1"/>
    <col min="8" max="8" width="62" customWidth="1"/>
    <col min="9" max="9" width="15" customWidth="1"/>
    <col min="10" max="10" width="12" customWidth="1"/>
    <col min="11" max="11" width="11" customWidth="1"/>
    <col min="12" max="12" width="40" customWidth="1"/>
  </cols>
  <sheetData>
    <row r="1" spans="1:12" ht="30" customHeight="1" x14ac:dyDescent="0.3">
      <c r="A1" s="1" t="inlineStr">
        <is>
          <t xml:space="preserve">ID</t>
        </is>
      </c>
      <c r="B1" s="1" t="inlineStr">
        <is>
          <t xml:space="preserve">Section</t>
        </is>
      </c>
      <c r="C1" s="1" t="inlineStr">
        <is>
          <t xml:space="preserve">Priority</t>
        </is>
      </c>
      <c r="D1" s="1" t="inlineStr">
        <is>
          <t xml:space="preserve">Check</t>
        </is>
      </c>
      <c r="E1" s="1" t="inlineStr">
        <is>
          <t xml:space="preserve">How to test</t>
        </is>
      </c>
      <c r="F1" s="1" t="inlineStr">
        <is>
          <t xml:space="preserve">Flags</t>
        </is>
      </c>
      <c r="G1" s="1" t="inlineStr">
        <is>
          <t xml:space="preserve">OWNER — result</t>
        </is>
      </c>
      <c r="H1" s="1" t="inlineStr">
        <is>
          <t xml:space="preserve">Expected for a MEMBER</t>
        </is>
      </c>
      <c r="I1" s="1" t="inlineStr">
        <is>
          <t xml:space="preserve">MEMBER — result</t>
        </is>
      </c>
      <c r="J1" s="1" t="inlineStr">
        <is>
          <t xml:space="preserve">Tester</t>
        </is>
      </c>
      <c r="K1" s="1" t="inlineStr">
        <is>
          <t xml:space="preserve">Date</t>
        </is>
      </c>
      <c r="L1" s="1" t="inlineStr">
        <is>
          <t xml:space="preserve">Notes</t>
        </is>
      </c>
    </row>
    <row r="2" spans="1:12" ht="28.8" x14ac:dyDescent="0.3">
      <c r="A2" s="2" t="inlineStr">
        <is>
          <t xml:space="preserve">PREP-01</t>
        </is>
      </c>
      <c r="B2" s="2" t="inlineStr">
        <is>
          <t xml:space="preserve">Before you start</t>
        </is>
      </c>
      <c r="C2" s="2" t="inlineStr">
        <is>
          <t xml:space="preserve">Start</t>
        </is>
      </c>
      <c r="D2" s="3" t="inlineStr">
        <is>
          <t xml:space="preserve">Confirm the build under test</t>
        </is>
      </c>
      <c r="E2" s="3" t="inlineStr">
        <is>
          <t xml:space="preserve">Open the app and check the build id in the sidebar header. It should read 5ed3f48 or later. An older build means you are testing yesterday's bugs.</t>
        </is>
      </c>
      <c r="F2" s="2"/>
      <c r="G2" s="6" t="inlineStr">
        <is>
          <t xml:space="preserve">Not tested</t>
        </is>
      </c>
      <c r="H2" s="3" t="inlineStr">
        <is>
          <t xml:space="preserve">Same. Do this setup on BOTH accounts before starting — the member pass is the one that finds anything.</t>
        </is>
      </c>
      <c r="I2" s="6" t="inlineStr">
        <is>
          <t xml:space="preserve">Not tested</t>
        </is>
      </c>
      <c r="J2" s="2"/>
      <c r="K2" s="2"/>
      <c r="L2" s="3"/>
    </row>
    <row r="3" spans="1:12" ht="28.8" x14ac:dyDescent="0.3">
      <c r="A3" s="2" t="inlineStr">
        <is>
          <t xml:space="preserve">PREP-02</t>
        </is>
      </c>
      <c r="B3" s="2" t="inlineStr">
        <is>
          <t xml:space="preserve">Before you start</t>
        </is>
      </c>
      <c r="C3" s="2" t="inlineStr">
        <is>
          <t xml:space="preserve">Start</t>
        </is>
      </c>
      <c r="D3" s="3" t="inlineStr">
        <is>
          <t xml:space="preserve">Have two accounts ready</t>
        </is>
      </c>
      <c r="E3" s="3" t="inlineStr">
        <is>
          <t xml:space="preserve">An owner account and a limited-role member in the same company. Permission gates cannot be tested from an owner account — everything passes.</t>
        </is>
      </c>
      <c r="F3" s="2" t="inlineStr">
        <is>
          <t xml:space="preserve">blocks permissions</t>
        </is>
      </c>
      <c r="G3" s="6" t="inlineStr">
        <is>
          <t xml:space="preserve">Not tested</t>
        </is>
      </c>
      <c r="H3" s="3" t="inlineStr">
        <is>
          <t xml:space="preserve">Same. Do this setup on BOTH accounts before starting — the member pass is the one that finds anything.</t>
        </is>
      </c>
      <c r="I3" s="6" t="inlineStr">
        <is>
          <t xml:space="preserve">Not tested</t>
        </is>
      </c>
      <c r="J3" s="2"/>
      <c r="K3" s="2"/>
      <c r="L3" s="3"/>
    </row>
    <row r="4" spans="1:12" ht="28.8" x14ac:dyDescent="0.3">
      <c r="A4" s="2" t="inlineStr">
        <is>
          <t xml:space="preserve">PREP-03</t>
        </is>
      </c>
      <c r="B4" s="2" t="inlineStr">
        <is>
          <t xml:space="preserve">Before you start</t>
        </is>
      </c>
      <c r="C4" s="2" t="inlineStr">
        <is>
          <t xml:space="preserve">Start</t>
        </is>
      </c>
      <c r="D4" s="3" t="inlineStr">
        <is>
          <t xml:space="preserve">Open the browser console and leave it open</t>
        </is>
      </c>
      <c r="E4" s="3" t="inlineStr">
        <is>
          <t xml:space="preserve">A red error in the console is a fail even when the screen looks right. Note the first error, not the tenth — later ones are usually consequences.</t>
        </is>
      </c>
      <c r="F4" s="2"/>
      <c r="G4" s="6" t="inlineStr">
        <is>
          <t xml:space="preserve">Not tested</t>
        </is>
      </c>
      <c r="H4" s="3" t="inlineStr">
        <is>
          <t xml:space="preserve">Same. Do this setup on BOTH accounts before starting — the member pass is the one that finds anything.</t>
        </is>
      </c>
      <c r="I4" s="6" t="inlineStr">
        <is>
          <t xml:space="preserve">Not tested</t>
        </is>
      </c>
      <c r="J4" s="2"/>
      <c r="K4" s="2"/>
      <c r="L4" s="3"/>
    </row>
    <row r="5" spans="1:12" ht="28.8" x14ac:dyDescent="0.3">
      <c r="A5" s="2" t="inlineStr">
        <is>
          <t xml:space="preserve">PREP-04</t>
        </is>
      </c>
      <c r="B5" s="2" t="inlineStr">
        <is>
          <t xml:space="preserve">Before you start</t>
        </is>
      </c>
      <c r="C5" s="2" t="inlineStr">
        <is>
          <t xml:space="preserve">Start</t>
        </is>
      </c>
      <c r="D5" s="3" t="inlineStr">
        <is>
          <t xml:space="preserve">Decide what a fail means</t>
        </is>
      </c>
      <c r="E5" s="3" t="inlineStr">
        <is>
          <t xml:space="preserve">Fail = wrong result, lost data, a dead control, or a console error. Not a fail: anything in the Known issues section at the bottom.</t>
        </is>
      </c>
      <c r="F5" s="2"/>
      <c r="G5" s="6" t="inlineStr">
        <is>
          <t xml:space="preserve">Not tested</t>
        </is>
      </c>
      <c r="H5" s="3" t="inlineStr">
        <is>
          <t xml:space="preserve">Same. Do this setup on BOTH accounts before starting — the member pass is the one that finds anything.</t>
        </is>
      </c>
      <c r="I5" s="6" t="inlineStr">
        <is>
          <t xml:space="preserve">Not tested</t>
        </is>
      </c>
      <c r="J5" s="2"/>
      <c r="K5" s="2"/>
      <c r="L5" s="3"/>
    </row>
    <row r="6" spans="1:12" x14ac:dyDescent="0.3">
      <c r="A6" s="2" t="inlineStr">
        <is>
          <t xml:space="preserve">SMOKE-01</t>
        </is>
      </c>
      <c r="B6" s="2" t="inlineStr">
        <is>
          <t xml:space="preserve">Smoke — every route loads</t>
        </is>
      </c>
      <c r="C6" s="2" t="inlineStr">
        <is>
          <t xml:space="preserve">P0</t>
        </is>
      </c>
      <c r="D6" s="3" t="inlineStr">
        <is>
          <t xml:space="preserve">/dashboard</t>
        </is>
      </c>
      <c r="E6" s="3" t="inlineStr">
        <is>
          <t xml:space="preserve">Loads, shows content (not an empty shell or a stuck loader), no console error.</t>
        </is>
      </c>
      <c r="F6" s="2"/>
      <c r="G6" s="6" t="inlineStr">
        <is>
          <t xml:space="preserve">Not tested</t>
        </is>
      </c>
      <c r="H6" s="3" t="inlineStr">
        <is>
          <t xml:space="preserve">Only the routes the role can view may load. Every other route must be refused or redirected — never shown as an empty shell. Note in Notes which routes the role could reach.</t>
        </is>
      </c>
      <c r="I6" s="6" t="inlineStr">
        <is>
          <t xml:space="preserve">Not tested</t>
        </is>
      </c>
      <c r="J6" s="2"/>
      <c r="K6" s="2"/>
      <c r="L6" s="3"/>
    </row>
    <row r="7" spans="1:12" x14ac:dyDescent="0.3">
      <c r="A7" s="2" t="inlineStr">
        <is>
          <t xml:space="preserve">SMOKE-02</t>
        </is>
      </c>
      <c r="B7" s="2" t="inlineStr">
        <is>
          <t xml:space="preserve">Smoke — every route loads</t>
        </is>
      </c>
      <c r="C7" s="2" t="inlineStr">
        <is>
          <t xml:space="preserve">P0</t>
        </is>
      </c>
      <c r="D7" s="3" t="inlineStr">
        <is>
          <t xml:space="preserve">/workday</t>
        </is>
      </c>
      <c r="E7" s="3" t="inlineStr">
        <is>
          <t xml:space="preserve">Loads, shows content (not an empty shell or a stuck loader), no console error.</t>
        </is>
      </c>
      <c r="F7" s="2"/>
      <c r="G7" s="6" t="inlineStr">
        <is>
          <t xml:space="preserve">Not tested</t>
        </is>
      </c>
      <c r="H7" s="3" t="inlineStr">
        <is>
          <t xml:space="preserve">Only the routes the role can view may load. Every other route must be refused or redirected — never shown as an empty shell. Note in Notes which routes the role could reach.</t>
        </is>
      </c>
      <c r="I7" s="6" t="inlineStr">
        <is>
          <t xml:space="preserve">Not tested</t>
        </is>
      </c>
      <c r="J7" s="2"/>
      <c r="K7" s="2"/>
      <c r="L7" s="3"/>
    </row>
    <row r="8" spans="1:12" x14ac:dyDescent="0.3">
      <c r="A8" s="2" t="inlineStr">
        <is>
          <t xml:space="preserve">SMOKE-03</t>
        </is>
      </c>
      <c r="B8" s="2" t="inlineStr">
        <is>
          <t xml:space="preserve">Smoke — every route loads</t>
        </is>
      </c>
      <c r="C8" s="2" t="inlineStr">
        <is>
          <t xml:space="preserve">P0</t>
        </is>
      </c>
      <c r="D8" s="3" t="inlineStr">
        <is>
          <t xml:space="preserve">/jobs</t>
        </is>
      </c>
      <c r="E8" s="3" t="inlineStr">
        <is>
          <t xml:space="preserve">Loads, shows content (not an empty shell or a stuck loader), no console error.</t>
        </is>
      </c>
      <c r="F8" s="2"/>
      <c r="G8" s="6" t="inlineStr">
        <is>
          <t xml:space="preserve">Not tested</t>
        </is>
      </c>
      <c r="H8" s="3" t="inlineStr">
        <is>
          <t xml:space="preserve">Only the routes the role can view may load. Every other route must be refused or redirected — never shown as an empty shell. Note in Notes which routes the role could reach.</t>
        </is>
      </c>
      <c r="I8" s="6" t="inlineStr">
        <is>
          <t xml:space="preserve">Not tested</t>
        </is>
      </c>
      <c r="J8" s="2"/>
      <c r="K8" s="2"/>
      <c r="L8" s="3"/>
    </row>
    <row r="9" spans="1:12" x14ac:dyDescent="0.3">
      <c r="A9" s="2" t="inlineStr">
        <is>
          <t xml:space="preserve">SMOKE-04</t>
        </is>
      </c>
      <c r="B9" s="2" t="inlineStr">
        <is>
          <t xml:space="preserve">Smoke — every route loads</t>
        </is>
      </c>
      <c r="C9" s="2" t="inlineStr">
        <is>
          <t xml:space="preserve">P0</t>
        </is>
      </c>
      <c r="D9" s="3" t="inlineStr">
        <is>
          <t xml:space="preserve">/tasks</t>
        </is>
      </c>
      <c r="E9" s="3" t="inlineStr">
        <is>
          <t xml:space="preserve">Loads, shows content (not an empty shell or a stuck loader), no console error.</t>
        </is>
      </c>
      <c r="F9" s="2"/>
      <c r="G9" s="6" t="inlineStr">
        <is>
          <t xml:space="preserve">Not tested</t>
        </is>
      </c>
      <c r="H9" s="3" t="inlineStr">
        <is>
          <t xml:space="preserve">Only the routes the role can view may load. Every other route must be refused or redirected — never shown as an empty shell. Note in Notes which routes the role could reach.</t>
        </is>
      </c>
      <c r="I9" s="6" t="inlineStr">
        <is>
          <t xml:space="preserve">Not tested</t>
        </is>
      </c>
      <c r="J9" s="2"/>
      <c r="K9" s="2"/>
      <c r="L9" s="3"/>
    </row>
    <row r="10" spans="1:12" x14ac:dyDescent="0.3">
      <c r="A10" s="2" t="inlineStr">
        <is>
          <t xml:space="preserve">SMOKE-05</t>
        </is>
      </c>
      <c r="B10" s="2" t="inlineStr">
        <is>
          <t xml:space="preserve">Smoke — every route loads</t>
        </is>
      </c>
      <c r="C10" s="2" t="inlineStr">
        <is>
          <t xml:space="preserve">P0</t>
        </is>
      </c>
      <c r="D10" s="3" t="inlineStr">
        <is>
          <t xml:space="preserve">/files</t>
        </is>
      </c>
      <c r="E10" s="3" t="inlineStr">
        <is>
          <t xml:space="preserve">Loads, shows content (not an empty shell or a stuck loader), no console error.</t>
        </is>
      </c>
      <c r="F10" s="2"/>
      <c r="G10" s="6" t="inlineStr">
        <is>
          <t xml:space="preserve">Not tested</t>
        </is>
      </c>
      <c r="H10" s="3" t="inlineStr">
        <is>
          <t xml:space="preserve">Only the routes the role can view may load. Every other route must be refused or redirected — never shown as an empty shell. Note in Notes which routes the role could reach.</t>
        </is>
      </c>
      <c r="I10" s="6" t="inlineStr">
        <is>
          <t xml:space="preserve">Not tested</t>
        </is>
      </c>
      <c r="J10" s="2"/>
      <c r="K10" s="2"/>
      <c r="L10" s="3"/>
    </row>
    <row r="11" spans="1:12" x14ac:dyDescent="0.3">
      <c r="A11" s="2" t="inlineStr">
        <is>
          <t xml:space="preserve">SMOKE-06</t>
        </is>
      </c>
      <c r="B11" s="2" t="inlineStr">
        <is>
          <t xml:space="preserve">Smoke — every route loads</t>
        </is>
      </c>
      <c r="C11" s="2" t="inlineStr">
        <is>
          <t xml:space="preserve">P0</t>
        </is>
      </c>
      <c r="D11" s="3" t="inlineStr">
        <is>
          <t xml:space="preserve">/client-portals</t>
        </is>
      </c>
      <c r="E11" s="3" t="inlineStr">
        <is>
          <t xml:space="preserve">Loads, shows content (not an empty shell or a stuck loader), no console error.</t>
        </is>
      </c>
      <c r="F11" s="2"/>
      <c r="G11" s="6" t="inlineStr">
        <is>
          <t xml:space="preserve">Not tested</t>
        </is>
      </c>
      <c r="H11" s="3" t="inlineStr">
        <is>
          <t xml:space="preserve">Only the routes the role can view may load. Every other route must be refused or redirected — never shown as an empty shell. Note in Notes which routes the role could reach.</t>
        </is>
      </c>
      <c r="I11" s="6" t="inlineStr">
        <is>
          <t xml:space="preserve">Not tested</t>
        </is>
      </c>
      <c r="J11" s="2"/>
      <c r="K11" s="2"/>
      <c r="L11" s="3"/>
    </row>
    <row r="12" spans="1:12" x14ac:dyDescent="0.3">
      <c r="A12" s="2" t="inlineStr">
        <is>
          <t xml:space="preserve">SMOKE-07</t>
        </is>
      </c>
      <c r="B12" s="2" t="inlineStr">
        <is>
          <t xml:space="preserve">Smoke — every route loads</t>
        </is>
      </c>
      <c r="C12" s="2" t="inlineStr">
        <is>
          <t xml:space="preserve">P0</t>
        </is>
      </c>
      <c r="D12" s="3" t="inlineStr">
        <is>
          <t xml:space="preserve">/workspaces</t>
        </is>
      </c>
      <c r="E12" s="3" t="inlineStr">
        <is>
          <t xml:space="preserve">Loads, shows content (not an empty shell or a stuck loader), no console error.</t>
        </is>
      </c>
      <c r="F12" s="2"/>
      <c r="G12" s="6" t="inlineStr">
        <is>
          <t xml:space="preserve">Not tested</t>
        </is>
      </c>
      <c r="H12" s="3" t="inlineStr">
        <is>
          <t xml:space="preserve">Only the routes the role can view may load. Every other route must be refused or redirected — never shown as an empty shell. Note in Notes which routes the role could reach.</t>
        </is>
      </c>
      <c r="I12" s="6" t="inlineStr">
        <is>
          <t xml:space="preserve">Not tested</t>
        </is>
      </c>
      <c r="J12" s="2"/>
      <c r="K12" s="2"/>
      <c r="L12" s="3"/>
    </row>
    <row r="13" spans="1:12" x14ac:dyDescent="0.3">
      <c r="A13" s="2" t="inlineStr">
        <is>
          <t xml:space="preserve">SMOKE-08</t>
        </is>
      </c>
      <c r="B13" s="2" t="inlineStr">
        <is>
          <t xml:space="preserve">Smoke — every route loads</t>
        </is>
      </c>
      <c r="C13" s="2" t="inlineStr">
        <is>
          <t xml:space="preserve">P0</t>
        </is>
      </c>
      <c r="D13" s="3" t="inlineStr">
        <is>
          <t xml:space="preserve">/forms</t>
        </is>
      </c>
      <c r="E13" s="3" t="inlineStr">
        <is>
          <t xml:space="preserve">Loads, shows content (not an empty shell or a stuck loader), no console error.</t>
        </is>
      </c>
      <c r="F13" s="2"/>
      <c r="G13" s="6" t="inlineStr">
        <is>
          <t xml:space="preserve">Not tested</t>
        </is>
      </c>
      <c r="H13" s="3" t="inlineStr">
        <is>
          <t xml:space="preserve">Only the routes the role can view may load. Every other route must be refused or redirected — never shown as an empty shell. Note in Notes which routes the role could reach.</t>
        </is>
      </c>
      <c r="I13" s="6" t="inlineStr">
        <is>
          <t xml:space="preserve">Not tested</t>
        </is>
      </c>
      <c r="J13" s="2"/>
      <c r="K13" s="2"/>
      <c r="L13" s="3"/>
    </row>
    <row r="14" spans="1:12" x14ac:dyDescent="0.3">
      <c r="A14" s="2" t="inlineStr">
        <is>
          <t xml:space="preserve">SMOKE-09</t>
        </is>
      </c>
      <c r="B14" s="2" t="inlineStr">
        <is>
          <t xml:space="preserve">Smoke — every route loads</t>
        </is>
      </c>
      <c r="C14" s="2" t="inlineStr">
        <is>
          <t xml:space="preserve">P0</t>
        </is>
      </c>
      <c r="D14" s="3" t="inlineStr">
        <is>
          <t xml:space="preserve">/analytics</t>
        </is>
      </c>
      <c r="E14" s="3" t="inlineStr">
        <is>
          <t xml:space="preserve">Loads, shows content (not an empty shell or a stuck loader), no console error.</t>
        </is>
      </c>
      <c r="F14" s="2"/>
      <c r="G14" s="6" t="inlineStr">
        <is>
          <t xml:space="preserve">Not tested</t>
        </is>
      </c>
      <c r="H14" s="3" t="inlineStr">
        <is>
          <t xml:space="preserve">Only the routes the role can view may load. Every other route must be refused or redirected — never shown as an empty shell. Note in Notes which routes the role could reach.</t>
        </is>
      </c>
      <c r="I14" s="6" t="inlineStr">
        <is>
          <t xml:space="preserve">Not tested</t>
        </is>
      </c>
      <c r="J14" s="2"/>
      <c r="K14" s="2"/>
      <c r="L14" s="3"/>
    </row>
    <row r="15" spans="1:12" x14ac:dyDescent="0.3">
      <c r="A15" s="2" t="inlineStr">
        <is>
          <t xml:space="preserve">SMOKE-10</t>
        </is>
      </c>
      <c r="B15" s="2" t="inlineStr">
        <is>
          <t xml:space="preserve">Smoke — every route loads</t>
        </is>
      </c>
      <c r="C15" s="2" t="inlineStr">
        <is>
          <t xml:space="preserve">P0</t>
        </is>
      </c>
      <c r="D15" s="3" t="inlineStr">
        <is>
          <t xml:space="preserve">/crm</t>
        </is>
      </c>
      <c r="E15" s="3" t="inlineStr">
        <is>
          <t xml:space="preserve">Loads, shows content (not an empty shell or a stuck loader), no console error.</t>
        </is>
      </c>
      <c r="F15" s="2"/>
      <c r="G15" s="6" t="inlineStr">
        <is>
          <t xml:space="preserve">Not tested</t>
        </is>
      </c>
      <c r="H15" s="3" t="inlineStr">
        <is>
          <t xml:space="preserve">Only the routes the role can view may load. Every other route must be refused or redirected — never shown as an empty shell. Note in Notes which routes the role could reach.</t>
        </is>
      </c>
      <c r="I15" s="6" t="inlineStr">
        <is>
          <t xml:space="preserve">Not tested</t>
        </is>
      </c>
      <c r="J15" s="2"/>
      <c r="K15" s="2"/>
      <c r="L15" s="3"/>
    </row>
    <row r="16" spans="1:12" x14ac:dyDescent="0.3">
      <c r="A16" s="2" t="inlineStr">
        <is>
          <t xml:space="preserve">SMOKE-11</t>
        </is>
      </c>
      <c r="B16" s="2" t="inlineStr">
        <is>
          <t xml:space="preserve">Smoke — every route loads</t>
        </is>
      </c>
      <c r="C16" s="2" t="inlineStr">
        <is>
          <t xml:space="preserve">P0</t>
        </is>
      </c>
      <c r="D16" s="3" t="inlineStr">
        <is>
          <t xml:space="preserve">/proposals</t>
        </is>
      </c>
      <c r="E16" s="3" t="inlineStr">
        <is>
          <t xml:space="preserve">Loads, shows content (not an empty shell or a stuck loader), no console error.</t>
        </is>
      </c>
      <c r="F16" s="2"/>
      <c r="G16" s="6" t="inlineStr">
        <is>
          <t xml:space="preserve">Not tested</t>
        </is>
      </c>
      <c r="H16" s="3" t="inlineStr">
        <is>
          <t xml:space="preserve">Only the routes the role can view may load. Every other route must be refused or redirected — never shown as an empty shell. Note in Notes which routes the role could reach.</t>
        </is>
      </c>
      <c r="I16" s="6" t="inlineStr">
        <is>
          <t xml:space="preserve">Not tested</t>
        </is>
      </c>
      <c r="J16" s="2"/>
      <c r="K16" s="2"/>
      <c r="L16" s="3"/>
    </row>
    <row r="17" spans="1:12" x14ac:dyDescent="0.3">
      <c r="A17" s="2" t="inlineStr">
        <is>
          <t xml:space="preserve">SMOKE-12</t>
        </is>
      </c>
      <c r="B17" s="2" t="inlineStr">
        <is>
          <t xml:space="preserve">Smoke — every route loads</t>
        </is>
      </c>
      <c r="C17" s="2" t="inlineStr">
        <is>
          <t xml:space="preserve">P0</t>
        </is>
      </c>
      <c r="D17" s="3" t="inlineStr">
        <is>
          <t xml:space="preserve">/underwriter</t>
        </is>
      </c>
      <c r="E17" s="3" t="inlineStr">
        <is>
          <t xml:space="preserve">Loads, shows content (not an empty shell or a stuck loader), no console error.</t>
        </is>
      </c>
      <c r="F17" s="2"/>
      <c r="G17" s="6" t="inlineStr">
        <is>
          <t xml:space="preserve">Not tested</t>
        </is>
      </c>
      <c r="H17" s="3" t="inlineStr">
        <is>
          <t xml:space="preserve">Only the routes the role can view may load. Every other route must be refused or redirected — never shown as an empty shell. Note in Notes which routes the role could reach.</t>
        </is>
      </c>
      <c r="I17" s="6" t="inlineStr">
        <is>
          <t xml:space="preserve">Not tested</t>
        </is>
      </c>
      <c r="J17" s="2"/>
      <c r="K17" s="2"/>
      <c r="L17" s="3"/>
    </row>
    <row r="18" spans="1:12" x14ac:dyDescent="0.3">
      <c r="A18" s="2" t="inlineStr">
        <is>
          <t xml:space="preserve">SMOKE-13</t>
        </is>
      </c>
      <c r="B18" s="2" t="inlineStr">
        <is>
          <t xml:space="preserve">Smoke — every route loads</t>
        </is>
      </c>
      <c r="C18" s="2" t="inlineStr">
        <is>
          <t xml:space="preserve">P0</t>
        </is>
      </c>
      <c r="D18" s="3" t="inlineStr">
        <is>
          <t xml:space="preserve">/finance</t>
        </is>
      </c>
      <c r="E18" s="3" t="inlineStr">
        <is>
          <t xml:space="preserve">Loads, shows content (not an empty shell or a stuck loader), no console error.</t>
        </is>
      </c>
      <c r="F18" s="2"/>
      <c r="G18" s="6" t="inlineStr">
        <is>
          <t xml:space="preserve">Not tested</t>
        </is>
      </c>
      <c r="H18" s="3" t="inlineStr">
        <is>
          <t xml:space="preserve">Only the routes the role can view may load. Every other route must be refused or redirected — never shown as an empty shell. Note in Notes which routes the role could reach.</t>
        </is>
      </c>
      <c r="I18" s="6" t="inlineStr">
        <is>
          <t xml:space="preserve">Not tested</t>
        </is>
      </c>
      <c r="J18" s="2"/>
      <c r="K18" s="2"/>
      <c r="L18" s="3"/>
    </row>
    <row r="19" spans="1:12" x14ac:dyDescent="0.3">
      <c r="A19" s="2" t="inlineStr">
        <is>
          <t xml:space="preserve">SMOKE-14</t>
        </is>
      </c>
      <c r="B19" s="2" t="inlineStr">
        <is>
          <t xml:space="preserve">Smoke — every route loads</t>
        </is>
      </c>
      <c r="C19" s="2" t="inlineStr">
        <is>
          <t xml:space="preserve">P0</t>
        </is>
      </c>
      <c r="D19" s="3" t="inlineStr">
        <is>
          <t xml:space="preserve">/messages</t>
        </is>
      </c>
      <c r="E19" s="3" t="inlineStr">
        <is>
          <t xml:space="preserve">Loads, shows content (not an empty shell or a stuck loader), no console error.</t>
        </is>
      </c>
      <c r="F19" s="2"/>
      <c r="G19" s="6" t="inlineStr">
        <is>
          <t xml:space="preserve">Not tested</t>
        </is>
      </c>
      <c r="H19" s="3" t="inlineStr">
        <is>
          <t xml:space="preserve">Only the routes the role can view may load. Every other route must be refused or redirected — never shown as an empty shell. Note in Notes which routes the role could reach.</t>
        </is>
      </c>
      <c r="I19" s="6" t="inlineStr">
        <is>
          <t xml:space="preserve">Not tested</t>
        </is>
      </c>
      <c r="J19" s="2"/>
      <c r="K19" s="2"/>
      <c r="L19" s="3"/>
    </row>
    <row r="20" spans="1:12" x14ac:dyDescent="0.3">
      <c r="A20" s="2" t="inlineStr">
        <is>
          <t xml:space="preserve">SMOKE-15</t>
        </is>
      </c>
      <c r="B20" s="2" t="inlineStr">
        <is>
          <t xml:space="preserve">Smoke — every route loads</t>
        </is>
      </c>
      <c r="C20" s="2" t="inlineStr">
        <is>
          <t xml:space="preserve">P0</t>
        </is>
      </c>
      <c r="D20" s="3" t="inlineStr">
        <is>
          <t xml:space="preserve">/calendar</t>
        </is>
      </c>
      <c r="E20" s="3" t="inlineStr">
        <is>
          <t xml:space="preserve">Loads, shows content (not an empty shell or a stuck loader), no console error.</t>
        </is>
      </c>
      <c r="F20" s="2"/>
      <c r="G20" s="6" t="inlineStr">
        <is>
          <t xml:space="preserve">Not tested</t>
        </is>
      </c>
      <c r="H20" s="3" t="inlineStr">
        <is>
          <t xml:space="preserve">Only the routes the role can view may load. Every other route must be refused or redirected — never shown as an empty shell. Note in Notes which routes the role could reach.</t>
        </is>
      </c>
      <c r="I20" s="6" t="inlineStr">
        <is>
          <t xml:space="preserve">Not tested</t>
        </is>
      </c>
      <c r="J20" s="2"/>
      <c r="K20" s="2"/>
      <c r="L20" s="3"/>
    </row>
    <row r="21" spans="1:12" x14ac:dyDescent="0.3">
      <c r="A21" s="2" t="inlineStr">
        <is>
          <t xml:space="preserve">SMOKE-16</t>
        </is>
      </c>
      <c r="B21" s="2" t="inlineStr">
        <is>
          <t xml:space="preserve">Smoke — every route loads</t>
        </is>
      </c>
      <c r="C21" s="2" t="inlineStr">
        <is>
          <t xml:space="preserve">P0</t>
        </is>
      </c>
      <c r="D21" s="3" t="inlineStr">
        <is>
          <t xml:space="preserve">/users</t>
        </is>
      </c>
      <c r="E21" s="3" t="inlineStr">
        <is>
          <t xml:space="preserve">Loads, shows content (not an empty shell or a stuck loader), no console error.</t>
        </is>
      </c>
      <c r="F21" s="2"/>
      <c r="G21" s="6" t="inlineStr">
        <is>
          <t xml:space="preserve">Not tested</t>
        </is>
      </c>
      <c r="H21" s="3" t="inlineStr">
        <is>
          <t xml:space="preserve">Only the routes the role can view may load. Every other route must be refused or redirected — never shown as an empty shell. Note in Notes which routes the role could reach.</t>
        </is>
      </c>
      <c r="I21" s="6" t="inlineStr">
        <is>
          <t xml:space="preserve">Not tested</t>
        </is>
      </c>
      <c r="J21" s="2"/>
      <c r="K21" s="2"/>
      <c r="L21" s="3"/>
    </row>
    <row r="22" spans="1:12" x14ac:dyDescent="0.3">
      <c r="A22" s="2" t="inlineStr">
        <is>
          <t xml:space="preserve">SMOKE-17</t>
        </is>
      </c>
      <c r="B22" s="2" t="inlineStr">
        <is>
          <t xml:space="preserve">Smoke — every route loads</t>
        </is>
      </c>
      <c r="C22" s="2" t="inlineStr">
        <is>
          <t xml:space="preserve">P0</t>
        </is>
      </c>
      <c r="D22" s="3" t="inlineStr">
        <is>
          <t xml:space="preserve">/settings</t>
        </is>
      </c>
      <c r="E22" s="3" t="inlineStr">
        <is>
          <t xml:space="preserve">Loads, shows content (not an empty shell or a stuck loader), no console error.</t>
        </is>
      </c>
      <c r="F22" s="2"/>
      <c r="G22" s="6" t="inlineStr">
        <is>
          <t xml:space="preserve">Not tested</t>
        </is>
      </c>
      <c r="H22" s="3" t="inlineStr">
        <is>
          <t xml:space="preserve">Only the routes the role can view may load. Every other route must be refused or redirected — never shown as an empty shell. Note in Notes which routes the role could reach.</t>
        </is>
      </c>
      <c r="I22" s="6" t="inlineStr">
        <is>
          <t xml:space="preserve">Not tested</t>
        </is>
      </c>
      <c r="J22" s="2"/>
      <c r="K22" s="2"/>
      <c r="L22" s="3"/>
    </row>
    <row r="23" spans="1:12" x14ac:dyDescent="0.3">
      <c r="A23" s="2" t="inlineStr">
        <is>
          <t xml:space="preserve">SMOKE-18</t>
        </is>
      </c>
      <c r="B23" s="2" t="inlineStr">
        <is>
          <t xml:space="preserve">Smoke — every route loads</t>
        </is>
      </c>
      <c r="C23" s="2" t="inlineStr">
        <is>
          <t xml:space="preserve">P0</t>
        </is>
      </c>
      <c r="D23" s="3" t="inlineStr">
        <is>
          <t xml:space="preserve">/time</t>
        </is>
      </c>
      <c r="E23" s="3" t="inlineStr">
        <is>
          <t xml:space="preserve">Loads, shows content (not an empty shell or a stuck loader), no console error.</t>
        </is>
      </c>
      <c r="F23" s="2"/>
      <c r="G23" s="6" t="inlineStr">
        <is>
          <t xml:space="preserve">Not tested</t>
        </is>
      </c>
      <c r="H23" s="3" t="inlineStr">
        <is>
          <t xml:space="preserve">Only the routes the role can view may load. Every other route must be refused or redirected — never shown as an empty shell. Note in Notes which routes the role could reach.</t>
        </is>
      </c>
      <c r="I23" s="6" t="inlineStr">
        <is>
          <t xml:space="preserve">Not tested</t>
        </is>
      </c>
      <c r="J23" s="2"/>
      <c r="K23" s="2"/>
      <c r="L23" s="3"/>
    </row>
    <row r="24" spans="1:12" x14ac:dyDescent="0.3">
      <c r="A24" s="2" t="inlineStr">
        <is>
          <t xml:space="preserve">SMOKE-19</t>
        </is>
      </c>
      <c r="B24" s="2" t="inlineStr">
        <is>
          <t xml:space="preserve">Smoke — every route loads</t>
        </is>
      </c>
      <c r="C24" s="2" t="inlineStr">
        <is>
          <t xml:space="preserve">P0</t>
        </is>
      </c>
      <c r="D24" s="3" t="inlineStr">
        <is>
          <t xml:space="preserve">/approvals</t>
        </is>
      </c>
      <c r="E24" s="3" t="inlineStr">
        <is>
          <t xml:space="preserve">Loads, shows content (not an empty shell or a stuck loader), no console error.</t>
        </is>
      </c>
      <c r="F24" s="2"/>
      <c r="G24" s="6" t="inlineStr">
        <is>
          <t xml:space="preserve">Not tested</t>
        </is>
      </c>
      <c r="H24" s="3" t="inlineStr">
        <is>
          <t xml:space="preserve">Only the routes the role can view may load. Every other route must be refused or redirected — never shown as an empty shell. Note in Notes which routes the role could reach.</t>
        </is>
      </c>
      <c r="I24" s="6" t="inlineStr">
        <is>
          <t xml:space="preserve">Not tested</t>
        </is>
      </c>
      <c r="J24" s="2"/>
      <c r="K24" s="2"/>
      <c r="L24" s="3"/>
    </row>
    <row r="25" spans="1:12" x14ac:dyDescent="0.3">
      <c r="A25" s="2" t="inlineStr">
        <is>
          <t xml:space="preserve">SMOKE-20</t>
        </is>
      </c>
      <c r="B25" s="2" t="inlineStr">
        <is>
          <t xml:space="preserve">Smoke — every route loads</t>
        </is>
      </c>
      <c r="C25" s="2" t="inlineStr">
        <is>
          <t xml:space="preserve">P0</t>
        </is>
      </c>
      <c r="D25" s="3" t="inlineStr">
        <is>
          <t xml:space="preserve">/clock</t>
        </is>
      </c>
      <c r="E25" s="3" t="inlineStr">
        <is>
          <t xml:space="preserve">Loads, shows content (not an empty shell or a stuck loader), no console error.</t>
        </is>
      </c>
      <c r="F25" s="2"/>
      <c r="G25" s="6" t="inlineStr">
        <is>
          <t xml:space="preserve">Not tested</t>
        </is>
      </c>
      <c r="H25" s="3" t="inlineStr">
        <is>
          <t xml:space="preserve">Only the routes the role can view may load. Every other route must be refused or redirected — never shown as an empty shell. Note in Notes which routes the role could reach.</t>
        </is>
      </c>
      <c r="I25" s="6" t="inlineStr">
        <is>
          <t xml:space="preserve">Not tested</t>
        </is>
      </c>
      <c r="J25" s="2"/>
      <c r="K25" s="2"/>
      <c r="L25" s="3"/>
    </row>
    <row r="26" spans="1:12" x14ac:dyDescent="0.3">
      <c r="A26" s="2" t="inlineStr">
        <is>
          <t xml:space="preserve">SMOKE-21</t>
        </is>
      </c>
      <c r="B26" s="2" t="inlineStr">
        <is>
          <t xml:space="preserve">Smoke — every route loads</t>
        </is>
      </c>
      <c r="C26" s="2" t="inlineStr">
        <is>
          <t xml:space="preserve">P0</t>
        </is>
      </c>
      <c r="D26" s="3" t="inlineStr">
        <is>
          <t xml:space="preserve">/team-chart</t>
        </is>
      </c>
      <c r="E26" s="3" t="inlineStr">
        <is>
          <t xml:space="preserve">Loads, shows content (not an empty shell or a stuck loader), no console error.</t>
        </is>
      </c>
      <c r="F26" s="2"/>
      <c r="G26" s="6" t="inlineStr">
        <is>
          <t xml:space="preserve">Not tested</t>
        </is>
      </c>
      <c r="H26" s="3" t="inlineStr">
        <is>
          <t xml:space="preserve">Only the routes the role can view may load. Every other route must be refused or redirected — never shown as an empty shell. Note in Notes which routes the role could reach.</t>
        </is>
      </c>
      <c r="I26" s="6" t="inlineStr">
        <is>
          <t xml:space="preserve">Not tested</t>
        </is>
      </c>
      <c r="J26" s="2"/>
      <c r="K26" s="2"/>
      <c r="L26" s="3"/>
    </row>
    <row r="27" spans="1:12" ht="28.8" x14ac:dyDescent="0.3">
      <c r="A27" s="2" t="inlineStr">
        <is>
          <t xml:space="preserve">NEW-01</t>
        </is>
      </c>
      <c r="B27" s="2" t="inlineStr">
        <is>
          <t xml:space="preserve">Shipped in the last two days</t>
        </is>
      </c>
      <c r="C27" s="2" t="inlineStr">
        <is>
          <t xml:space="preserve">P1</t>
        </is>
      </c>
      <c r="D27" s="3" t="inlineStr">
        <is>
          <t xml:space="preserve">Job saves with no client</t>
        </is>
      </c>
      <c r="E27" s="3" t="inlineStr">
        <is>
          <t xml:space="preserve">Add job → fill only the name → Save. Expect: it saves. This failed on a foreign key before; if it errors again, stop and report immediately.</t>
        </is>
      </c>
      <c r="F27" s="2" t="inlineStr">
        <is>
          <t xml:space="preserve">critical, new, was broken</t>
        </is>
      </c>
      <c r="G27" s="6" t="inlineStr">
        <is>
          <t xml:space="preserve">Not tested</t>
        </is>
      </c>
      <c r="H27" s="3" t="inlineStr">
        <is>
          <t xml:space="preserve">Readable only with the matching .view. Anything that creates, edits or deletes needs the matching .manage — without it the control must be ABSENT, not present and refusing.</t>
        </is>
      </c>
      <c r="I27" s="6" t="inlineStr">
        <is>
          <t xml:space="preserve">Not tested</t>
        </is>
      </c>
      <c r="J27" s="2"/>
      <c r="K27" s="2"/>
      <c r="L27" s="3"/>
    </row>
    <row r="28" spans="1:12" ht="28.8" x14ac:dyDescent="0.3">
      <c r="A28" s="2" t="inlineStr">
        <is>
          <t xml:space="preserve">NEW-02</t>
        </is>
      </c>
      <c r="B28" s="2" t="inlineStr">
        <is>
          <t xml:space="preserve">Shipped in the last two days</t>
        </is>
      </c>
      <c r="C28" s="2" t="inlineStr">
        <is>
          <t xml:space="preserve">P1</t>
        </is>
      </c>
      <c r="D28" s="3" t="inlineStr">
        <is>
          <t xml:space="preserve">Clear activity log — wrong password refused</t>
        </is>
      </c>
      <c r="E28" s="3" t="inlineStr">
        <is>
          <t xml:space="preserve">Configure workspace → Clear log → enter a wrong password → Clear. Expect: "Incorrect password", log untouched.</t>
        </is>
      </c>
      <c r="F28" s="2" t="inlineStr">
        <is>
          <t xml:space="preserve">critical, new, destructive</t>
        </is>
      </c>
      <c r="G28" s="6" t="inlineStr">
        <is>
          <t xml:space="preserve">Not tested</t>
        </is>
      </c>
      <c r="H28" s="3" t="inlineStr">
        <is>
          <t xml:space="preserve">Readable only with the matching .view. Anything that creates, edits or deletes needs the matching .manage — without it the control must be ABSENT, not present and refusing.</t>
        </is>
      </c>
      <c r="I28" s="6" t="inlineStr">
        <is>
          <t xml:space="preserve">Not tested</t>
        </is>
      </c>
      <c r="J28" s="2"/>
      <c r="K28" s="2"/>
      <c r="L28" s="3"/>
    </row>
    <row r="29" spans="1:12" ht="28.8" x14ac:dyDescent="0.3">
      <c r="A29" s="2" t="inlineStr">
        <is>
          <t xml:space="preserve">NEW-03</t>
        </is>
      </c>
      <c r="B29" s="2" t="inlineStr">
        <is>
          <t xml:space="preserve">Shipped in the last two days</t>
        </is>
      </c>
      <c r="C29" s="2" t="inlineStr">
        <is>
          <t xml:space="preserve">P1</t>
        </is>
      </c>
      <c r="D29" s="3" t="inlineStr">
        <is>
          <t xml:space="preserve">Clear activity log — correct password works</t>
        </is>
      </c>
      <c r="E29" s="3" t="inlineStr">
        <is>
          <t xml:space="preserve">Repeat with the right password. Expect: log cleared, exactly one entry left saying who cleared it and how many went.</t>
        </is>
      </c>
      <c r="F29" s="2" t="inlineStr">
        <is>
          <t xml:space="preserve">critical, new, destructive</t>
        </is>
      </c>
      <c r="G29" s="6" t="inlineStr">
        <is>
          <t xml:space="preserve">Not tested</t>
        </is>
      </c>
      <c r="H29" s="3" t="inlineStr">
        <is>
          <t xml:space="preserve">Readable only with the matching .view. Anything that creates, edits or deletes needs the matching .manage — without it the control must be ABSENT, not present and refusing.</t>
        </is>
      </c>
      <c r="I29" s="6" t="inlineStr">
        <is>
          <t xml:space="preserve">Not tested</t>
        </is>
      </c>
      <c r="J29" s="2"/>
      <c r="K29" s="2"/>
      <c r="L29" s="3"/>
    </row>
    <row r="30" spans="1:12" ht="28.8" x14ac:dyDescent="0.3">
      <c r="A30" s="2" t="inlineStr">
        <is>
          <t xml:space="preserve">NEW-04</t>
        </is>
      </c>
      <c r="B30" s="2" t="inlineStr">
        <is>
          <t xml:space="preserve">Shipped in the last two days</t>
        </is>
      </c>
      <c r="C30" s="2" t="inlineStr">
        <is>
          <t xml:space="preserve">P1</t>
        </is>
      </c>
      <c r="D30" s="3" t="inlineStr">
        <is>
          <t xml:space="preserve">Clearing the log leaves the feed alone</t>
        </is>
      </c>
      <c r="E30" s="3" t="inlineStr">
        <is>
          <t xml:space="preserve">After clearing, check the workspace Activity feed. Expect: posts, files and links are all still there. Only the action log is cleared.</t>
        </is>
      </c>
      <c r="F30" s="2"/>
      <c r="G30" s="6" t="inlineStr">
        <is>
          <t xml:space="preserve">Not tested</t>
        </is>
      </c>
      <c r="H30" s="3" t="inlineStr">
        <is>
          <t xml:space="preserve">Readable only with the matching .view. Anything that creates, edits or deletes needs the matching .manage — without it the control must be ABSENT, not present and refusing.</t>
        </is>
      </c>
      <c r="I30" s="6" t="inlineStr">
        <is>
          <t xml:space="preserve">Not tested</t>
        </is>
      </c>
      <c r="J30" s="2"/>
      <c r="K30" s="2"/>
      <c r="L30" s="3"/>
    </row>
    <row r="31" spans="1:12" ht="28.8" x14ac:dyDescent="0.3">
      <c r="A31" s="2" t="inlineStr">
        <is>
          <t xml:space="preserve">NEW-05</t>
        </is>
      </c>
      <c r="B31" s="2" t="inlineStr">
        <is>
          <t xml:space="preserve">Shipped in the last two days</t>
        </is>
      </c>
      <c r="C31" s="2" t="inlineStr">
        <is>
          <t xml:space="preserve">P1</t>
        </is>
      </c>
      <c r="D31" s="3" t="inlineStr">
        <is>
          <t xml:space="preserve">The password field is typeable</t>
        </is>
      </c>
      <c r="E31" s="3" t="inlineStr">
        <is>
          <t xml:space="preserve">Click into the password box and type. Expect: characters appear in it. Previously keystrokes were stolen by the command palette.</t>
        </is>
      </c>
      <c r="F31" s="2" t="inlineStr">
        <is>
          <t xml:space="preserve">was broken</t>
        </is>
      </c>
      <c r="G31" s="6" t="inlineStr">
        <is>
          <t xml:space="preserve">Not tested</t>
        </is>
      </c>
      <c r="H31" s="3" t="inlineStr">
        <is>
          <t xml:space="preserve">Readable only with the matching .view. Anything that creates, edits or deletes needs the matching .manage — without it the control must be ABSENT, not present and refusing.</t>
        </is>
      </c>
      <c r="I31" s="6" t="inlineStr">
        <is>
          <t xml:space="preserve">Not tested</t>
        </is>
      </c>
      <c r="J31" s="2"/>
      <c r="K31" s="2"/>
      <c r="L31" s="3"/>
    </row>
    <row r="32" spans="1:12" x14ac:dyDescent="0.3">
      <c r="A32" s="2" t="inlineStr">
        <is>
          <t xml:space="preserve">NEW-06</t>
        </is>
      </c>
      <c r="B32" s="2" t="inlineStr">
        <is>
          <t xml:space="preserve">Shipped in the last two days</t>
        </is>
      </c>
      <c r="C32" s="2" t="inlineStr">
        <is>
          <t xml:space="preserve">P1</t>
        </is>
      </c>
      <c r="D32" s="3" t="inlineStr">
        <is>
          <t xml:space="preserve">Configure workspace header</t>
        </is>
      </c>
      <c r="E32" s="3" t="inlineStr">
        <is>
          <t xml:space="preserve">Expect: Clear log, Save workspace and Close along the top; no Cancel button at the bottom.</t>
        </is>
      </c>
      <c r="F32" s="2" t="inlineStr">
        <is>
          <t xml:space="preserve">new</t>
        </is>
      </c>
      <c r="G32" s="6" t="inlineStr">
        <is>
          <t xml:space="preserve">Not tested</t>
        </is>
      </c>
      <c r="H32" s="3" t="inlineStr">
        <is>
          <t xml:space="preserve">Readable only with the matching .view. Anything that creates, edits or deletes needs the matching .manage — without it the control must be ABSENT, not present and refusing.</t>
        </is>
      </c>
      <c r="I32" s="6" t="inlineStr">
        <is>
          <t xml:space="preserve">Not tested</t>
        </is>
      </c>
      <c r="J32" s="2"/>
      <c r="K32" s="2"/>
      <c r="L32" s="3"/>
    </row>
    <row r="33" spans="1:12" ht="28.8" x14ac:dyDescent="0.3">
      <c r="A33" s="2" t="inlineStr">
        <is>
          <t xml:space="preserve">NEW-07</t>
        </is>
      </c>
      <c r="B33" s="2" t="inlineStr">
        <is>
          <t xml:space="preserve">Shipped in the last two days</t>
        </is>
      </c>
      <c r="C33" s="2" t="inlineStr">
        <is>
          <t xml:space="preserve">P1</t>
        </is>
      </c>
      <c r="D33" s="3" t="inlineStr">
        <is>
          <t xml:space="preserve">Enter still saves</t>
        </is>
      </c>
      <c r="E33" s="3" t="inlineStr">
        <is>
          <t xml:space="preserve">In Configure workspace, put the cursor in the name field and press Enter. Expect: it saves, same as clicking Save.</t>
        </is>
      </c>
      <c r="F33" s="2"/>
      <c r="G33" s="6" t="inlineStr">
        <is>
          <t xml:space="preserve">Not tested</t>
        </is>
      </c>
      <c r="H33" s="3" t="inlineStr">
        <is>
          <t xml:space="preserve">Readable only with the matching .view. Anything that creates, edits or deletes needs the matching .manage — without it the control must be ABSENT, not present and refusing.</t>
        </is>
      </c>
      <c r="I33" s="6" t="inlineStr">
        <is>
          <t xml:space="preserve">Not tested</t>
        </is>
      </c>
      <c r="J33" s="2"/>
      <c r="K33" s="2"/>
      <c r="L33" s="3"/>
    </row>
    <row r="34" spans="1:12" ht="28.8" x14ac:dyDescent="0.3">
      <c r="A34" s="2" t="inlineStr">
        <is>
          <t xml:space="preserve">NEW-08</t>
        </is>
      </c>
      <c r="B34" s="2" t="inlineStr">
        <is>
          <t xml:space="preserve">Shipped in the last two days</t>
        </is>
      </c>
      <c r="C34" s="2" t="inlineStr">
        <is>
          <t xml:space="preserve">P1</t>
        </is>
      </c>
      <c r="D34" s="3" t="inlineStr">
        <is>
          <t xml:space="preserve">Saving a workspace stays put</t>
        </is>
      </c>
      <c r="E34" s="3" t="inlineStr">
        <is>
          <t xml:space="preserve">Rename a workspace from the sidebar gear while on the Activity page. Expect: you stay on Activity. It used to throw you to Settings.</t>
        </is>
      </c>
      <c r="F34" s="2" t="inlineStr">
        <is>
          <t xml:space="preserve">was broken</t>
        </is>
      </c>
      <c r="G34" s="6" t="inlineStr">
        <is>
          <t xml:space="preserve">Not tested</t>
        </is>
      </c>
      <c r="H34" s="3" t="inlineStr">
        <is>
          <t xml:space="preserve">Readable only with the matching .view. Anything that creates, edits or deletes needs the matching .manage — without it the control must be ABSENT, not present and refusing.</t>
        </is>
      </c>
      <c r="I34" s="6" t="inlineStr">
        <is>
          <t xml:space="preserve">Not tested</t>
        </is>
      </c>
      <c r="J34" s="2"/>
      <c r="K34" s="2"/>
      <c r="L34" s="3"/>
    </row>
    <row r="35" spans="1:12" x14ac:dyDescent="0.3">
      <c r="A35" s="2" t="inlineStr">
        <is>
          <t xml:space="preserve">NEW-09</t>
        </is>
      </c>
      <c r="B35" s="2" t="inlineStr">
        <is>
          <t xml:space="preserve">Shipped in the last two days</t>
        </is>
      </c>
      <c r="C35" s="2" t="inlineStr">
        <is>
          <t xml:space="preserve">P1</t>
        </is>
      </c>
      <c r="D35" s="3" t="inlineStr">
        <is>
          <t xml:space="preserve">Activity log shows date and time</t>
        </is>
      </c>
      <c r="E35" s="3" t="inlineStr">
        <is>
          <t xml:space="preserve">Expect: each entry reads like "Aug 3, 2026 · 10:52 AM" followed by the relative time.</t>
        </is>
      </c>
      <c r="F35" s="2" t="inlineStr">
        <is>
          <t xml:space="preserve">new</t>
        </is>
      </c>
      <c r="G35" s="6" t="inlineStr">
        <is>
          <t xml:space="preserve">Not tested</t>
        </is>
      </c>
      <c r="H35" s="3" t="inlineStr">
        <is>
          <t xml:space="preserve">Readable only with the matching .view. Anything that creates, edits or deletes needs the matching .manage — without it the control must be ABSENT, not present and refusing.</t>
        </is>
      </c>
      <c r="I35" s="6" t="inlineStr">
        <is>
          <t xml:space="preserve">Not tested</t>
        </is>
      </c>
      <c r="J35" s="2"/>
      <c r="K35" s="2"/>
      <c r="L35" s="3"/>
    </row>
    <row r="36" spans="1:12" ht="28.8" x14ac:dyDescent="0.3">
      <c r="A36" s="2" t="inlineStr">
        <is>
          <t xml:space="preserve">NEW-10</t>
        </is>
      </c>
      <c r="B36" s="2" t="inlineStr">
        <is>
          <t xml:space="preserve">Shipped in the last two days</t>
        </is>
      </c>
      <c r="C36" s="2" t="inlineStr">
        <is>
          <t xml:space="preserve">P1</t>
        </is>
      </c>
      <c r="D36" s="3" t="inlineStr">
        <is>
          <t xml:space="preserve">Select one job and delete it</t>
        </is>
      </c>
      <c r="E36" s="3" t="inlineStr">
        <is>
          <t xml:space="preserve">Jobs → List → tick one row → Delete 1. Expect: password prompt, then it goes to the Recycle Bin.</t>
        </is>
      </c>
      <c r="F36" s="2" t="inlineStr">
        <is>
          <t xml:space="preserve">critical, new, destructive</t>
        </is>
      </c>
      <c r="G36" s="6" t="inlineStr">
        <is>
          <t xml:space="preserve">Not tested</t>
        </is>
      </c>
      <c r="H36" s="3" t="inlineStr">
        <is>
          <t xml:space="preserve">Readable only with the matching .view. Anything that creates, edits or deletes needs the matching .manage — without it the control must be ABSENT, not present and refusing.</t>
        </is>
      </c>
      <c r="I36" s="6" t="inlineStr">
        <is>
          <t xml:space="preserve">Not tested</t>
        </is>
      </c>
      <c r="J36" s="2"/>
      <c r="K36" s="2"/>
      <c r="L36" s="3"/>
    </row>
    <row r="37" spans="1:12" ht="28.8" x14ac:dyDescent="0.3">
      <c r="A37" s="2" t="inlineStr">
        <is>
          <t xml:space="preserve">NEW-11</t>
        </is>
      </c>
      <c r="B37" s="2" t="inlineStr">
        <is>
          <t xml:space="preserve">Shipped in the last two days</t>
        </is>
      </c>
      <c r="C37" s="2" t="inlineStr">
        <is>
          <t xml:space="preserve">P1</t>
        </is>
      </c>
      <c r="D37" s="3" t="inlineStr">
        <is>
          <t xml:space="preserve">Select several jobs and delete them</t>
        </is>
      </c>
      <c r="E37" s="3" t="inlineStr">
        <is>
          <t xml:space="preserve">Tick three → Delete 3. Expect: a progress bar counting "1 of 3", "2 of 3", then all three in the Recycle Bin.</t>
        </is>
      </c>
      <c r="F37" s="2" t="inlineStr">
        <is>
          <t xml:space="preserve">critical, new, destructive</t>
        </is>
      </c>
      <c r="G37" s="6" t="inlineStr">
        <is>
          <t xml:space="preserve">Not tested</t>
        </is>
      </c>
      <c r="H37" s="3" t="inlineStr">
        <is>
          <t xml:space="preserve">Readable only with the matching .view. Anything that creates, edits or deletes needs the matching .manage — without it the control must be ABSENT, not present and refusing.</t>
        </is>
      </c>
      <c r="I37" s="6" t="inlineStr">
        <is>
          <t xml:space="preserve">Not tested</t>
        </is>
      </c>
      <c r="J37" s="2"/>
      <c r="K37" s="2"/>
      <c r="L37" s="3"/>
    </row>
    <row r="38" spans="1:12" x14ac:dyDescent="0.3">
      <c r="A38" s="2" t="inlineStr">
        <is>
          <t xml:space="preserve">NEW-12</t>
        </is>
      </c>
      <c r="B38" s="2" t="inlineStr">
        <is>
          <t xml:space="preserve">Shipped in the last two days</t>
        </is>
      </c>
      <c r="C38" s="2" t="inlineStr">
        <is>
          <t xml:space="preserve">P1</t>
        </is>
      </c>
      <c r="D38" s="3" t="inlineStr">
        <is>
          <t xml:space="preserve">Deleted jobs restore</t>
        </is>
      </c>
      <c r="E38" s="3" t="inlineStr">
        <is>
          <t xml:space="preserve">Recycle Bin → restore them. Expect: they return to the Jobs list intact.</t>
        </is>
      </c>
      <c r="F38" s="2" t="inlineStr">
        <is>
          <t xml:space="preserve">critical</t>
        </is>
      </c>
      <c r="G38" s="6" t="inlineStr">
        <is>
          <t xml:space="preserve">Not tested</t>
        </is>
      </c>
      <c r="H38" s="3" t="inlineStr">
        <is>
          <t xml:space="preserve">Readable only with the matching .view. Anything that creates, edits or deletes needs the matching .manage — without it the control must be ABSENT, not present and refusing.</t>
        </is>
      </c>
      <c r="I38" s="6" t="inlineStr">
        <is>
          <t xml:space="preserve">Not tested</t>
        </is>
      </c>
      <c r="J38" s="2"/>
      <c r="K38" s="2"/>
      <c r="L38" s="3"/>
    </row>
    <row r="39" spans="1:12" x14ac:dyDescent="0.3">
      <c r="A39" s="2" t="inlineStr">
        <is>
          <t xml:space="preserve">NEW-13</t>
        </is>
      </c>
      <c r="B39" s="2" t="inlineStr">
        <is>
          <t xml:space="preserve">Shipped in the last two days</t>
        </is>
      </c>
      <c r="C39" s="2" t="inlineStr">
        <is>
          <t xml:space="preserve">P1</t>
        </is>
      </c>
      <c r="D39" s="3" t="inlineStr">
        <is>
          <t xml:space="preserve">Select-all respects the filter</t>
        </is>
      </c>
      <c r="E39" s="3" t="inlineStr">
        <is>
          <t xml:space="preserve">Filter the Jobs list, tick select-all, clear the filter. Expect: only the filtered rows are ticked.</t>
        </is>
      </c>
      <c r="F39" s="2"/>
      <c r="G39" s="6" t="inlineStr">
        <is>
          <t xml:space="preserve">Not tested</t>
        </is>
      </c>
      <c r="H39" s="3" t="inlineStr">
        <is>
          <t xml:space="preserve">Readable only with the matching .view. Anything that creates, edits or deletes needs the matching .manage — without it the control must be ABSENT, not present and refusing.</t>
        </is>
      </c>
      <c r="I39" s="6" t="inlineStr">
        <is>
          <t xml:space="preserve">Not tested</t>
        </is>
      </c>
      <c r="J39" s="2"/>
      <c r="K39" s="2"/>
      <c r="L39" s="3"/>
    </row>
    <row r="40" spans="1:12" x14ac:dyDescent="0.3">
      <c r="A40" s="2" t="inlineStr">
        <is>
          <t xml:space="preserve">NEW-14</t>
        </is>
      </c>
      <c r="B40" s="2" t="inlineStr">
        <is>
          <t xml:space="preserve">Shipped in the last two days</t>
        </is>
      </c>
      <c r="C40" s="2" t="inlineStr">
        <is>
          <t xml:space="preserve">P1</t>
        </is>
      </c>
      <c r="D40" s="3" t="inlineStr">
        <is>
          <t xml:space="preserve">Ticking a row does not open the job</t>
        </is>
      </c>
      <c r="E40" s="3" t="inlineStr">
        <is>
          <t xml:space="preserve">Click a row's checkbox. Expect: it ticks and you stay on the list.</t>
        </is>
      </c>
      <c r="F40" s="2"/>
      <c r="G40" s="6" t="inlineStr">
        <is>
          <t xml:space="preserve">Not tested</t>
        </is>
      </c>
      <c r="H40" s="3" t="inlineStr">
        <is>
          <t xml:space="preserve">Readable only with the matching .view. Anything that creates, edits or deletes needs the matching .manage — without it the control must be ABSENT, not present and refusing.</t>
        </is>
      </c>
      <c r="I40" s="6" t="inlineStr">
        <is>
          <t xml:space="preserve">Not tested</t>
        </is>
      </c>
      <c r="J40" s="2"/>
      <c r="K40" s="2"/>
      <c r="L40" s="3"/>
    </row>
    <row r="41" spans="1:12" x14ac:dyDescent="0.3">
      <c r="A41" s="2" t="inlineStr">
        <is>
          <t xml:space="preserve">NEW-15</t>
        </is>
      </c>
      <c r="B41" s="2" t="inlineStr">
        <is>
          <t xml:space="preserve">Shipped in the last two days</t>
        </is>
      </c>
      <c r="C41" s="2" t="inlineStr">
        <is>
          <t xml:space="preserve">P1</t>
        </is>
      </c>
      <c r="D41" s="3" t="inlineStr">
        <is>
          <t xml:space="preserve">Bulk delete is hidden from a limited role</t>
        </is>
      </c>
      <c r="E41" s="3" t="inlineStr">
        <is>
          <t xml:space="preserve">As the limited account, select jobs. Expect: no Delete button.</t>
        </is>
      </c>
      <c r="F41" s="2" t="inlineStr">
        <is>
          <t xml:space="preserve">critical, permissions</t>
        </is>
      </c>
      <c r="G41" s="6" t="inlineStr">
        <is>
          <t xml:space="preserve">Not tested</t>
        </is>
      </c>
      <c r="H41" s="3" t="inlineStr">
        <is>
          <t xml:space="preserve">Readable only with the matching .view. Anything that creates, edits or deletes needs the matching .manage — without it the control must be ABSENT, not present and refusing.</t>
        </is>
      </c>
      <c r="I41" s="6" t="inlineStr">
        <is>
          <t xml:space="preserve">Not tested</t>
        </is>
      </c>
      <c r="J41" s="2"/>
      <c r="K41" s="2"/>
      <c r="L41" s="3"/>
    </row>
    <row r="42" spans="1:12" ht="28.8" x14ac:dyDescent="0.3">
      <c r="A42" s="2" t="inlineStr">
        <is>
          <t xml:space="preserve">NEW-16</t>
        </is>
      </c>
      <c r="B42" s="2" t="inlineStr">
        <is>
          <t xml:space="preserve">Shipped in the last two days</t>
        </is>
      </c>
      <c r="C42" s="2" t="inlineStr">
        <is>
          <t xml:space="preserve">P1</t>
        </is>
      </c>
      <c r="D42" s="3" t="inlineStr">
        <is>
          <t xml:space="preserve">Only one scrollbar</t>
        </is>
      </c>
      <c r="E42" s="3" t="inlineStr">
        <is>
          <t xml:space="preserve">On the dashboard and workspaces pages. Expect: one scrollbar on the content, none on the window.</t>
        </is>
      </c>
      <c r="F42" s="2" t="inlineStr">
        <is>
          <t xml:space="preserve">was broken</t>
        </is>
      </c>
      <c r="G42" s="6" t="inlineStr">
        <is>
          <t xml:space="preserve">Not tested</t>
        </is>
      </c>
      <c r="H42" s="3" t="inlineStr">
        <is>
          <t xml:space="preserve">Readable only with the matching .view. Anything that creates, edits or deletes needs the matching .manage — without it the control must be ABSENT, not present and refusing.</t>
        </is>
      </c>
      <c r="I42" s="6" t="inlineStr">
        <is>
          <t xml:space="preserve">Not tested</t>
        </is>
      </c>
      <c r="J42" s="2"/>
      <c r="K42" s="2"/>
      <c r="L42" s="3"/>
    </row>
    <row r="43" spans="1:12" ht="28.8" x14ac:dyDescent="0.3">
      <c r="A43" s="2" t="inlineStr">
        <is>
          <t xml:space="preserve">NEW-17</t>
        </is>
      </c>
      <c r="B43" s="2" t="inlineStr">
        <is>
          <t xml:space="preserve">Shipped in the last two days</t>
        </is>
      </c>
      <c r="C43" s="2" t="inlineStr">
        <is>
          <t xml:space="preserve">P1</t>
        </is>
      </c>
      <c r="D43" s="3" t="inlineStr">
        <is>
          <t xml:space="preserve">App strip drag</t>
        </is>
      </c>
      <c r="E43" s="3" t="inlineStr">
        <is>
          <t xml:space="preserve">Workspaces → hold left button on the app strip and drag. Expect: it pans and glides to a stop; a click still opens an app.</t>
        </is>
      </c>
      <c r="F43" s="2"/>
      <c r="G43" s="6" t="inlineStr">
        <is>
          <t xml:space="preserve">Not tested</t>
        </is>
      </c>
      <c r="H43" s="3" t="inlineStr">
        <is>
          <t xml:space="preserve">Readable only with the matching .view. Anything that creates, edits or deletes needs the matching .manage — without it the control must be ABSENT, not present and refusing.</t>
        </is>
      </c>
      <c r="I43" s="6" t="inlineStr">
        <is>
          <t xml:space="preserve">Not tested</t>
        </is>
      </c>
      <c r="J43" s="2"/>
      <c r="K43" s="2"/>
      <c r="L43" s="3"/>
    </row>
    <row r="44" spans="1:12" x14ac:dyDescent="0.3">
      <c r="A44" s="2" t="inlineStr">
        <is>
          <t xml:space="preserve">NEW-18</t>
        </is>
      </c>
      <c r="B44" s="2" t="inlineStr">
        <is>
          <t xml:space="preserve">Shipped in the last two days</t>
        </is>
      </c>
      <c r="C44" s="2" t="inlineStr">
        <is>
          <t xml:space="preserve">P1</t>
        </is>
      </c>
      <c r="D44" s="3" t="inlineStr">
        <is>
          <t xml:space="preserve">App strip keeps its place</t>
        </is>
      </c>
      <c r="E44" s="3" t="inlineStr">
        <is>
          <t xml:space="preserve">Scroll the app strip sideways, then click an app. Expect: the strip stays where you left it.</t>
        </is>
      </c>
      <c r="F44" s="2"/>
      <c r="G44" s="6" t="inlineStr">
        <is>
          <t xml:space="preserve">Not tested</t>
        </is>
      </c>
      <c r="H44" s="3" t="inlineStr">
        <is>
          <t xml:space="preserve">Readable only with the matching .view. Anything that creates, edits or deletes needs the matching .manage — without it the control must be ABSENT, not present and refusing.</t>
        </is>
      </c>
      <c r="I44" s="6" t="inlineStr">
        <is>
          <t xml:space="preserve">Not tested</t>
        </is>
      </c>
      <c r="J44" s="2"/>
      <c r="K44" s="2"/>
      <c r="L44" s="3"/>
    </row>
    <row r="45" spans="1:12" x14ac:dyDescent="0.3">
      <c r="A45" s="2" t="inlineStr">
        <is>
          <t xml:space="preserve">NEW-19</t>
        </is>
      </c>
      <c r="B45" s="2" t="inlineStr">
        <is>
          <t xml:space="preserve">Shipped in the last two days</t>
        </is>
      </c>
      <c r="C45" s="2" t="inlineStr">
        <is>
          <t xml:space="preserve">P1</t>
        </is>
      </c>
      <c r="D45" s="3" t="inlineStr">
        <is>
          <t xml:space="preserve">Command palette over a dialog</t>
        </is>
      </c>
      <c r="E45" s="3" t="inlineStr">
        <is>
          <t xml:space="preserve">Open any dialog, press Ctrl+K. Expect: the palette does not open over it.</t>
        </is>
      </c>
      <c r="F45" s="2" t="inlineStr">
        <is>
          <t xml:space="preserve">was broken</t>
        </is>
      </c>
      <c r="G45" s="6" t="inlineStr">
        <is>
          <t xml:space="preserve">Not tested</t>
        </is>
      </c>
      <c r="H45" s="3" t="inlineStr">
        <is>
          <t xml:space="preserve">Readable only with the matching .view. Anything that creates, edits or deletes needs the matching .manage — without it the control must be ABSENT, not present and refusing.</t>
        </is>
      </c>
      <c r="I45" s="6" t="inlineStr">
        <is>
          <t xml:space="preserve">Not tested</t>
        </is>
      </c>
      <c r="J45" s="2"/>
      <c r="K45" s="2"/>
      <c r="L45" s="3"/>
    </row>
    <row r="46" spans="1:12" ht="28.8" x14ac:dyDescent="0.3">
      <c r="A46" s="2" t="inlineStr">
        <is>
          <t xml:space="preserve">NEW-20</t>
        </is>
      </c>
      <c r="B46" s="2" t="inlineStr">
        <is>
          <t xml:space="preserve">Shipped in the last two days</t>
        </is>
      </c>
      <c r="C46" s="2" t="inlineStr">
        <is>
          <t xml:space="preserve">P1</t>
        </is>
      </c>
      <c r="D46" s="3" t="inlineStr">
        <is>
          <t xml:space="preserve">Sidebar themes and icon packs</t>
        </is>
      </c>
      <c r="E46" s="3" t="inlineStr">
        <is>
          <t xml:space="preserve">Settings → Appearance → try each sidebar theme and icon pack. Expect: icons all render (no blank squares), text stays readable on every theme.</t>
        </is>
      </c>
      <c r="F46" s="2" t="inlineStr">
        <is>
          <t xml:space="preserve">new</t>
        </is>
      </c>
      <c r="G46" s="6" t="inlineStr">
        <is>
          <t xml:space="preserve">Not tested</t>
        </is>
      </c>
      <c r="H46" s="3" t="inlineStr">
        <is>
          <t xml:space="preserve">Readable only with the matching .view. Anything that creates, edits or deletes needs the matching .manage — without it the control must be ABSENT, not present and refusing.</t>
        </is>
      </c>
      <c r="I46" s="6" t="inlineStr">
        <is>
          <t xml:space="preserve">Not tested</t>
        </is>
      </c>
      <c r="J46" s="2"/>
      <c r="K46" s="2"/>
      <c r="L46" s="3"/>
    </row>
    <row r="47" spans="1:12" ht="28.8" x14ac:dyDescent="0.3">
      <c r="A47" s="2" t="inlineStr">
        <is>
          <t xml:space="preserve">NEW-21</t>
        </is>
      </c>
      <c r="B47" s="2" t="inlineStr">
        <is>
          <t xml:space="preserve">Shipped in the last two days</t>
        </is>
      </c>
      <c r="C47" s="2" t="inlineStr">
        <is>
          <t xml:space="preserve">P1</t>
        </is>
      </c>
      <c r="D47" s="3" t="inlineStr">
        <is>
          <t xml:space="preserve">Appearance is per-account</t>
        </is>
      </c>
      <c r="E47" s="3" t="inlineStr">
        <is>
          <t xml:space="preserve">Change your sidebar theme, then check the limited account. Expect: their appearance is unchanged.</t>
        </is>
      </c>
      <c r="F47" s="2"/>
      <c r="G47" s="6" t="inlineStr">
        <is>
          <t xml:space="preserve">Not tested</t>
        </is>
      </c>
      <c r="H47" s="3" t="inlineStr">
        <is>
          <t xml:space="preserve">Readable only with the matching .view. Anything that creates, edits or deletes needs the matching .manage — without it the control must be ABSENT, not present and refusing.</t>
        </is>
      </c>
      <c r="I47" s="6" t="inlineStr">
        <is>
          <t xml:space="preserve">Not tested</t>
        </is>
      </c>
      <c r="J47" s="2"/>
      <c r="K47" s="2"/>
      <c r="L47" s="3"/>
    </row>
    <row r="48" spans="1:12" ht="28.8" x14ac:dyDescent="0.3">
      <c r="A48" s="2" t="inlineStr">
        <is>
          <t xml:space="preserve">DEL-01</t>
        </is>
      </c>
      <c r="B48" s="2" t="inlineStr">
        <is>
          <t xml:space="preserve">Destructive and password-gated</t>
        </is>
      </c>
      <c r="C48" s="2" t="inlineStr">
        <is>
          <t xml:space="preserve">P1</t>
        </is>
      </c>
      <c r="D48" s="3" t="inlineStr">
        <is>
          <t xml:space="preserve">Recycle-bin deletes across records</t>
        </is>
      </c>
      <c r="E48" s="3" t="inlineStr">
        <is>
          <t xml:space="preserve">Delete one of each: contact, job, quote, task, file, form, client portal, knowledge article. Expect: each confirms first, then appears in the Recycle Bin.</t>
        </is>
      </c>
      <c r="F48" s="2" t="inlineStr">
        <is>
          <t xml:space="preserve">critical</t>
        </is>
      </c>
      <c r="G48" s="6" t="inlineStr">
        <is>
          <t xml:space="preserve">Not tested</t>
        </is>
      </c>
      <c r="H48" s="3" t="inlineStr">
        <is>
          <t xml:space="preserve">Not offered at all. A member reaching a destructive control is a security failure, not a cosmetic one — raise it as P0.</t>
        </is>
      </c>
      <c r="I48" s="6" t="inlineStr">
        <is>
          <t xml:space="preserve">Not tested</t>
        </is>
      </c>
      <c r="J48" s="2"/>
      <c r="K48" s="2"/>
      <c r="L48" s="3"/>
    </row>
    <row r="49" spans="1:12" x14ac:dyDescent="0.3">
      <c r="A49" s="2" t="inlineStr">
        <is>
          <t xml:space="preserve">DEL-02</t>
        </is>
      </c>
      <c r="B49" s="2" t="inlineStr">
        <is>
          <t xml:space="preserve">Destructive and password-gated</t>
        </is>
      </c>
      <c r="C49" s="2" t="inlineStr">
        <is>
          <t xml:space="preserve">P1</t>
        </is>
      </c>
      <c r="D49" s="3" t="inlineStr">
        <is>
          <t xml:space="preserve">Restore from the Recycle Bin</t>
        </is>
      </c>
      <c r="E49" s="3" t="inlineStr">
        <is>
          <t xml:space="preserve">Restore each one. Expect: the record comes back where it was, with its fields intact.</t>
        </is>
      </c>
      <c r="F49" s="2" t="inlineStr">
        <is>
          <t xml:space="preserve">critical</t>
        </is>
      </c>
      <c r="G49" s="6" t="inlineStr">
        <is>
          <t xml:space="preserve">Not tested</t>
        </is>
      </c>
      <c r="H49" s="3" t="inlineStr">
        <is>
          <t xml:space="preserve">Not offered at all. A member reaching a destructive control is a security failure, not a cosmetic one — raise it as P0.</t>
        </is>
      </c>
      <c r="I49" s="6" t="inlineStr">
        <is>
          <t xml:space="preserve">Not tested</t>
        </is>
      </c>
      <c r="J49" s="2"/>
      <c r="K49" s="2"/>
      <c r="L49" s="3"/>
    </row>
    <row r="50" spans="1:12" x14ac:dyDescent="0.3">
      <c r="A50" s="2" t="inlineStr">
        <is>
          <t xml:space="preserve">DEL-03</t>
        </is>
      </c>
      <c r="B50" s="2" t="inlineStr">
        <is>
          <t xml:space="preserve">Destructive and password-gated</t>
        </is>
      </c>
      <c r="C50" s="2" t="inlineStr">
        <is>
          <t xml:space="preserve">P1</t>
        </is>
      </c>
      <c r="D50" s="3" t="inlineStr">
        <is>
          <t xml:space="preserve">Undo immediately after deleting</t>
        </is>
      </c>
      <c r="E50" s="3" t="inlineStr">
        <is>
          <t xml:space="preserve">Delete a record and use the undo on the toast. Expect: it comes straight back.</t>
        </is>
      </c>
      <c r="F50" s="2" t="inlineStr">
        <is>
          <t xml:space="preserve">undo-recycle-delete</t>
        </is>
      </c>
      <c r="G50" s="6" t="inlineStr">
        <is>
          <t xml:space="preserve">Not tested</t>
        </is>
      </c>
      <c r="H50" s="3" t="inlineStr">
        <is>
          <t xml:space="preserve">Not offered at all. A member reaching a destructive control is a security failure, not a cosmetic one — raise it as P0.</t>
        </is>
      </c>
      <c r="I50" s="6" t="inlineStr">
        <is>
          <t xml:space="preserve">Not tested</t>
        </is>
      </c>
      <c r="J50" s="2"/>
      <c r="K50" s="2"/>
      <c r="L50" s="3"/>
    </row>
    <row r="51" spans="1:12" ht="28.8" x14ac:dyDescent="0.3">
      <c r="A51" s="2" t="inlineStr">
        <is>
          <t xml:space="preserve">DEL-04</t>
        </is>
      </c>
      <c r="B51" s="2" t="inlineStr">
        <is>
          <t xml:space="preserve">Destructive and password-gated</t>
        </is>
      </c>
      <c r="C51" s="2" t="inlineStr">
        <is>
          <t xml:space="preserve">P1</t>
        </is>
      </c>
      <c r="D51" s="3" t="inlineStr">
        <is>
          <t xml:space="preserve">Permanent delete really is permanent</t>
        </is>
      </c>
      <c r="E51" s="3" t="inlineStr">
        <is>
          <t xml:space="preserve">Recycle Bin → permanently delete one item. Expect: a distinct, stronger confirmation, then it is gone for good.</t>
        </is>
      </c>
      <c r="F51" s="2" t="inlineStr">
        <is>
          <t xml:space="preserve">critical, destructive</t>
        </is>
      </c>
      <c r="G51" s="6" t="inlineStr">
        <is>
          <t xml:space="preserve">Not tested</t>
        </is>
      </c>
      <c r="H51" s="3" t="inlineStr">
        <is>
          <t xml:space="preserve">Not offered at all. A member reaching a destructive control is a security failure, not a cosmetic one — raise it as P0.</t>
        </is>
      </c>
      <c r="I51" s="6" t="inlineStr">
        <is>
          <t xml:space="preserve">Not tested</t>
        </is>
      </c>
      <c r="J51" s="2"/>
      <c r="K51" s="2"/>
      <c r="L51" s="3"/>
    </row>
    <row r="52" spans="1:12" x14ac:dyDescent="0.3">
      <c r="A52" s="2" t="inlineStr">
        <is>
          <t xml:space="preserve">DEL-05</t>
        </is>
      </c>
      <c r="B52" s="2" t="inlineStr">
        <is>
          <t xml:space="preserve">Destructive and password-gated</t>
        </is>
      </c>
      <c r="C52" s="2" t="inlineStr">
        <is>
          <t xml:space="preserve">P1</t>
        </is>
      </c>
      <c r="D52" s="3" t="inlineStr">
        <is>
          <t xml:space="preserve">Empty expired items</t>
        </is>
      </c>
      <c r="E52" s="3" t="inlineStr">
        <is>
          <t xml:space="preserve">Expect: it confirms, and removes only expired items — not everything in the bin.</t>
        </is>
      </c>
      <c r="F52" s="2" t="inlineStr">
        <is>
          <t xml:space="preserve">critical, destructive</t>
        </is>
      </c>
      <c r="G52" s="6" t="inlineStr">
        <is>
          <t xml:space="preserve">Not tested</t>
        </is>
      </c>
      <c r="H52" s="3" t="inlineStr">
        <is>
          <t xml:space="preserve">Not offered at all. A member reaching a destructive control is a security failure, not a cosmetic one — raise it as P0.</t>
        </is>
      </c>
      <c r="I52" s="6" t="inlineStr">
        <is>
          <t xml:space="preserve">Not tested</t>
        </is>
      </c>
      <c r="J52" s="2"/>
      <c r="K52" s="2"/>
      <c r="L52" s="3"/>
    </row>
    <row r="53" spans="1:12" ht="28.8" x14ac:dyDescent="0.3">
      <c r="A53" s="2" t="inlineStr">
        <is>
          <t xml:space="preserve">DEL-06</t>
        </is>
      </c>
      <c r="B53" s="2" t="inlineStr">
        <is>
          <t xml:space="preserve">Destructive and password-gated</t>
        </is>
      </c>
      <c r="C53" s="2" t="inlineStr">
        <is>
          <t xml:space="preserve">P1</t>
        </is>
      </c>
      <c r="D53" s="3" t="inlineStr">
        <is>
          <t xml:space="preserve">Delete a company</t>
        </is>
      </c>
      <c r="E53" s="3" t="inlineStr">
        <is>
          <t xml:space="preserve">Owner only. Expect: a confirmation that names the company and requires deliberate confirmation. Do this on a throwaway company, never a real one.</t>
        </is>
      </c>
      <c r="F53" s="2" t="inlineStr">
        <is>
          <t xml:space="preserve">critical, destructive</t>
        </is>
      </c>
      <c r="G53" s="6" t="inlineStr">
        <is>
          <t xml:space="preserve">Not tested</t>
        </is>
      </c>
      <c r="H53" s="3" t="inlineStr">
        <is>
          <t xml:space="preserve">Not offered at all. A member reaching a destructive control is a security failure, not a cosmetic one — raise it as P0.</t>
        </is>
      </c>
      <c r="I53" s="6" t="inlineStr">
        <is>
          <t xml:space="preserve">Not tested</t>
        </is>
      </c>
      <c r="J53" s="2"/>
      <c r="K53" s="2"/>
      <c r="L53" s="3"/>
    </row>
    <row r="54" spans="1:12" x14ac:dyDescent="0.3">
      <c r="A54" s="2" t="inlineStr">
        <is>
          <t xml:space="preserve">DEL-07</t>
        </is>
      </c>
      <c r="B54" s="2" t="inlineStr">
        <is>
          <t xml:space="preserve">Destructive and password-gated</t>
        </is>
      </c>
      <c r="C54" s="2" t="inlineStr">
        <is>
          <t xml:space="preserve">P1</t>
        </is>
      </c>
      <c r="D54" s="3" t="inlineStr">
        <is>
          <t xml:space="preserve">Revoke a client portal link</t>
        </is>
      </c>
      <c r="E54" s="3" t="inlineStr">
        <is>
          <t xml:space="preserve">Expect: the old public link stops working. Test the link in a private window before and after.</t>
        </is>
      </c>
      <c r="F54" s="2" t="inlineStr">
        <is>
          <t xml:space="preserve">critical, destructive</t>
        </is>
      </c>
      <c r="G54" s="6" t="inlineStr">
        <is>
          <t xml:space="preserve">Not tested</t>
        </is>
      </c>
      <c r="H54" s="3" t="inlineStr">
        <is>
          <t xml:space="preserve">Not offered at all. A member reaching a destructive control is a security failure, not a cosmetic one — raise it as P0.</t>
        </is>
      </c>
      <c r="I54" s="6" t="inlineStr">
        <is>
          <t xml:space="preserve">Not tested</t>
        </is>
      </c>
      <c r="J54" s="2"/>
      <c r="K54" s="2"/>
      <c r="L54" s="3"/>
    </row>
    <row r="55" spans="1:12" x14ac:dyDescent="0.3">
      <c r="A55" s="2" t="inlineStr">
        <is>
          <t xml:space="preserve">DEL-08</t>
        </is>
      </c>
      <c r="B55" s="2" t="inlineStr">
        <is>
          <t xml:space="preserve">Destructive and password-gated</t>
        </is>
      </c>
      <c r="C55" s="2" t="inlineStr">
        <is>
          <t xml:space="preserve">P1</t>
        </is>
      </c>
      <c r="D55" s="3" t="inlineStr">
        <is>
          <t xml:space="preserve">Regenerate a client portal link</t>
        </is>
      </c>
      <c r="E55" s="3" t="inlineStr">
        <is>
          <t xml:space="preserve">Expect: a new link works and the old one does not.</t>
        </is>
      </c>
      <c r="F55" s="2"/>
      <c r="G55" s="6" t="inlineStr">
        <is>
          <t xml:space="preserve">Not tested</t>
        </is>
      </c>
      <c r="H55" s="3" t="inlineStr">
        <is>
          <t xml:space="preserve">Not offered at all. A member reaching a destructive control is a security failure, not a cosmetic one — raise it as P0.</t>
        </is>
      </c>
      <c r="I55" s="6" t="inlineStr">
        <is>
          <t xml:space="preserve">Not tested</t>
        </is>
      </c>
      <c r="J55" s="2"/>
      <c r="K55" s="2"/>
      <c r="L55" s="3"/>
    </row>
    <row r="56" spans="1:12" x14ac:dyDescent="0.3">
      <c r="A56" s="2" t="inlineStr">
        <is>
          <t xml:space="preserve">DEL-09</t>
        </is>
      </c>
      <c r="B56" s="2" t="inlineStr">
        <is>
          <t xml:space="preserve">Destructive and password-gated</t>
        </is>
      </c>
      <c r="C56" s="2" t="inlineStr">
        <is>
          <t xml:space="preserve">P1</t>
        </is>
      </c>
      <c r="D56" s="3" t="inlineStr">
        <is>
          <t xml:space="preserve">Revoke an invite</t>
        </is>
      </c>
      <c r="E56" s="3" t="inlineStr">
        <is>
          <t xml:space="preserve">Expect: the invite code no longer lets anyone join.</t>
        </is>
      </c>
      <c r="F56" s="2"/>
      <c r="G56" s="6" t="inlineStr">
        <is>
          <t xml:space="preserve">Not tested</t>
        </is>
      </c>
      <c r="H56" s="3" t="inlineStr">
        <is>
          <t xml:space="preserve">Not offered at all. A member reaching a destructive control is a security failure, not a cosmetic one — raise it as P0.</t>
        </is>
      </c>
      <c r="I56" s="6" t="inlineStr">
        <is>
          <t xml:space="preserve">Not tested</t>
        </is>
      </c>
      <c r="J56" s="2"/>
      <c r="K56" s="2"/>
      <c r="L56" s="3"/>
    </row>
    <row r="57" spans="1:12" ht="28.8" x14ac:dyDescent="0.3">
      <c r="A57" s="2" t="inlineStr">
        <is>
          <t xml:space="preserve">DEL-10</t>
        </is>
      </c>
      <c r="B57" s="2" t="inlineStr">
        <is>
          <t xml:space="preserve">Destructive and password-gated</t>
        </is>
      </c>
      <c r="C57" s="2" t="inlineStr">
        <is>
          <t xml:space="preserve">P1</t>
        </is>
      </c>
      <c r="D57" s="3" t="inlineStr">
        <is>
          <t xml:space="preserve">Delete a role</t>
        </is>
      </c>
      <c r="E57" s="3" t="inlineStr">
        <is>
          <t xml:space="preserve">Expect: confirmation, and people holding that role are handled sensibly rather than left without access silently.</t>
        </is>
      </c>
      <c r="F57" s="2" t="inlineStr">
        <is>
          <t xml:space="preserve">critical</t>
        </is>
      </c>
      <c r="G57" s="6" t="inlineStr">
        <is>
          <t xml:space="preserve">Not tested</t>
        </is>
      </c>
      <c r="H57" s="3" t="inlineStr">
        <is>
          <t xml:space="preserve">Not offered at all. A member reaching a destructive control is a security failure, not a cosmetic one — raise it as P0.</t>
        </is>
      </c>
      <c r="I57" s="6" t="inlineStr">
        <is>
          <t xml:space="preserve">Not tested</t>
        </is>
      </c>
      <c r="J57" s="2"/>
      <c r="K57" s="2"/>
      <c r="L57" s="3"/>
    </row>
    <row r="58" spans="1:12" ht="28.8" x14ac:dyDescent="0.3">
      <c r="A58" s="2" t="inlineStr">
        <is>
          <t xml:space="preserve">DEL-11</t>
        </is>
      </c>
      <c r="B58" s="2" t="inlineStr">
        <is>
          <t xml:space="preserve">Destructive and password-gated</t>
        </is>
      </c>
      <c r="C58" s="2" t="inlineStr">
        <is>
          <t xml:space="preserve">P1</t>
        </is>
      </c>
      <c r="D58" s="3" t="inlineStr">
        <is>
          <t xml:space="preserve">Delete a pipeline stage that has records</t>
        </is>
      </c>
      <c r="E58" s="3" t="inlineStr">
        <is>
          <t xml:space="preserve">Expect: it says how many records are affected, and offers to move them or clear the stage. Records are kept either way.</t>
        </is>
      </c>
      <c r="F58" s="2" t="inlineStr">
        <is>
          <t xml:space="preserve">critical</t>
        </is>
      </c>
      <c r="G58" s="6" t="inlineStr">
        <is>
          <t xml:space="preserve">Not tested</t>
        </is>
      </c>
      <c r="H58" s="3" t="inlineStr">
        <is>
          <t xml:space="preserve">Not offered at all. A member reaching a destructive control is a security failure, not a cosmetic one — raise it as P0.</t>
        </is>
      </c>
      <c r="I58" s="6" t="inlineStr">
        <is>
          <t xml:space="preserve">Not tested</t>
        </is>
      </c>
      <c r="J58" s="2"/>
      <c r="K58" s="2"/>
      <c r="L58" s="3"/>
    </row>
    <row r="59" spans="1:12" x14ac:dyDescent="0.3">
      <c r="A59" s="2" t="inlineStr">
        <is>
          <t xml:space="preserve">DEL-12</t>
        </is>
      </c>
      <c r="B59" s="2" t="inlineStr">
        <is>
          <t xml:space="preserve">Destructive and password-gated</t>
        </is>
      </c>
      <c r="C59" s="2" t="inlineStr">
        <is>
          <t xml:space="preserve">P1</t>
        </is>
      </c>
      <c r="D59" s="3" t="inlineStr">
        <is>
          <t xml:space="preserve">Reset dashboard layout</t>
        </is>
      </c>
      <c r="E59" s="3" t="inlineStr">
        <is>
          <t xml:space="preserve">Expect: confirmation, then default widgets return.</t>
        </is>
      </c>
      <c r="F59" s="2"/>
      <c r="G59" s="6" t="inlineStr">
        <is>
          <t xml:space="preserve">Not tested</t>
        </is>
      </c>
      <c r="H59" s="3" t="inlineStr">
        <is>
          <t xml:space="preserve">Not offered at all. A member reaching a destructive control is a security failure, not a cosmetic one — raise it as P0.</t>
        </is>
      </c>
      <c r="I59" s="6" t="inlineStr">
        <is>
          <t xml:space="preserve">Not tested</t>
        </is>
      </c>
      <c r="J59" s="2"/>
      <c r="K59" s="2"/>
      <c r="L59" s="3"/>
    </row>
    <row r="60" spans="1:12" x14ac:dyDescent="0.3">
      <c r="A60" s="2" t="inlineStr">
        <is>
          <t xml:space="preserve">DEL-13</t>
        </is>
      </c>
      <c r="B60" s="2" t="inlineStr">
        <is>
          <t xml:space="preserve">Destructive and password-gated</t>
        </is>
      </c>
      <c r="C60" s="2" t="inlineStr">
        <is>
          <t xml:space="preserve">P1</t>
        </is>
      </c>
      <c r="D60" s="3" t="inlineStr">
        <is>
          <t xml:space="preserve">Reset appearance</t>
        </is>
      </c>
      <c r="E60" s="3" t="inlineStr">
        <is>
          <t xml:space="preserve">Expect: your own appearance returns to default and nobody else's changes.</t>
        </is>
      </c>
      <c r="F60" s="2"/>
      <c r="G60" s="6" t="inlineStr">
        <is>
          <t xml:space="preserve">Not tested</t>
        </is>
      </c>
      <c r="H60" s="3" t="inlineStr">
        <is>
          <t xml:space="preserve">Not offered at all. A member reaching a destructive control is a security failure, not a cosmetic one — raise it as P0.</t>
        </is>
      </c>
      <c r="I60" s="6" t="inlineStr">
        <is>
          <t xml:space="preserve">Not tested</t>
        </is>
      </c>
      <c r="J60" s="2"/>
      <c r="K60" s="2"/>
      <c r="L60" s="3"/>
    </row>
    <row r="61" spans="1:12" ht="28.8" x14ac:dyDescent="0.3">
      <c r="A61" s="2" t="inlineStr">
        <is>
          <t xml:space="preserve">DEL-14</t>
        </is>
      </c>
      <c r="B61" s="2" t="inlineStr">
        <is>
          <t xml:space="preserve">Destructive and password-gated</t>
        </is>
      </c>
      <c r="C61" s="2" t="inlineStr">
        <is>
          <t xml:space="preserve">P1</t>
        </is>
      </c>
      <c r="D61" s="3" t="inlineStr">
        <is>
          <t xml:space="preserve">Every destructive action as a limited role</t>
        </is>
      </c>
      <c r="E61" s="3" t="inlineStr">
        <is>
          <t xml:space="preserve">Repeat the deletes above as the limited account. Expect: refused or not offered — never a silent failure that looks like success.</t>
        </is>
      </c>
      <c r="F61" s="2" t="inlineStr">
        <is>
          <t xml:space="preserve">critical, permissions</t>
        </is>
      </c>
      <c r="G61" s="6" t="inlineStr">
        <is>
          <t xml:space="preserve">Not tested</t>
        </is>
      </c>
      <c r="H61" s="3" t="inlineStr">
        <is>
          <t xml:space="preserve">Not offered at all. A member reaching a destructive control is a security failure, not a cosmetic one — raise it as P0.</t>
        </is>
      </c>
      <c r="I61" s="6" t="inlineStr">
        <is>
          <t xml:space="preserve">Not tested</t>
        </is>
      </c>
      <c r="J61" s="2"/>
      <c r="K61" s="2"/>
      <c r="L61" s="3"/>
    </row>
    <row r="62" spans="1:12" ht="28.8" x14ac:dyDescent="0.3">
      <c r="A62" s="2" t="inlineStr">
        <is>
          <t xml:space="preserve">CRM-01</t>
        </is>
      </c>
      <c r="B62" s="2" t="inlineStr">
        <is>
          <t xml:space="preserve">Quest CRM</t>
        </is>
      </c>
      <c r="C62" s="2" t="inlineStr">
        <is>
          <t xml:space="preserve">Modules</t>
        </is>
      </c>
      <c r="D62" s="3" t="inlineStr">
        <is>
          <t xml:space="preserve">Contacts — full loop</t>
        </is>
      </c>
      <c r="E62" s="3" t="inlineStr">
        <is>
          <t xml:space="preserve">Create → edit → change stage → add a note and a task → delete. 33 actions live here, the largest surface in the app.</t>
        </is>
      </c>
      <c r="F62" s="2" t="inlineStr">
        <is>
          <t xml:space="preserve">33 actions</t>
        </is>
      </c>
      <c r="G62" s="6" t="inlineStr">
        <is>
          <t xml:space="preserve">Not tested</t>
        </is>
      </c>
      <c r="H62" s="3" t="inlineStr">
        <is>
          <t xml:space="preserve">Needs crm.view to appear at all. Add, edit, import, merge and delete need crm.manage — absent without it.</t>
        </is>
      </c>
      <c r="I62" s="6" t="inlineStr">
        <is>
          <t xml:space="preserve">Not tested</t>
        </is>
      </c>
      <c r="J62" s="2"/>
      <c r="K62" s="2"/>
      <c r="L62" s="3"/>
    </row>
    <row r="63" spans="1:12" x14ac:dyDescent="0.3">
      <c r="A63" s="2" t="inlineStr">
        <is>
          <t xml:space="preserve">CRM-02</t>
        </is>
      </c>
      <c r="B63" s="2" t="inlineStr">
        <is>
          <t xml:space="preserve">Quest CRM</t>
        </is>
      </c>
      <c r="C63" s="2" t="inlineStr">
        <is>
          <t xml:space="preserve">Modules</t>
        </is>
      </c>
      <c r="D63" s="3" t="inlineStr">
        <is>
          <t xml:space="preserve">Contacts — bulk and import</t>
        </is>
      </c>
      <c r="E63" s="3" t="inlineStr">
        <is>
          <t xml:space="preserve">Select several → label, campaign, email. Then import a small CSV and run dedupe.</t>
        </is>
      </c>
      <c r="F63" s="2"/>
      <c r="G63" s="6" t="inlineStr">
        <is>
          <t xml:space="preserve">Not tested</t>
        </is>
      </c>
      <c r="H63" s="3" t="inlineStr">
        <is>
          <t xml:space="preserve">Needs crm.view to appear at all. Add, edit, import, merge and delete need crm.manage — absent without it.</t>
        </is>
      </c>
      <c r="I63" s="6" t="inlineStr">
        <is>
          <t xml:space="preserve">Not tested</t>
        </is>
      </c>
      <c r="J63" s="2"/>
      <c r="K63" s="2"/>
      <c r="L63" s="3"/>
    </row>
    <row r="64" spans="1:12" x14ac:dyDescent="0.3">
      <c r="A64" s="2" t="inlineStr">
        <is>
          <t xml:space="preserve">CRM-03</t>
        </is>
      </c>
      <c r="B64" s="2" t="inlineStr">
        <is>
          <t xml:space="preserve">Quest CRM</t>
        </is>
      </c>
      <c r="C64" s="2" t="inlineStr">
        <is>
          <t xml:space="preserve">Modules</t>
        </is>
      </c>
      <c r="D64" s="3" t="inlineStr">
        <is>
          <t xml:space="preserve">Contacts — convert to quote</t>
        </is>
      </c>
      <c r="E64" s="3" t="inlineStr">
        <is>
          <t xml:space="preserve">Expect: the quote carries the contact's details across.</t>
        </is>
      </c>
      <c r="F64" s="2"/>
      <c r="G64" s="6" t="inlineStr">
        <is>
          <t xml:space="preserve">Not tested</t>
        </is>
      </c>
      <c r="H64" s="3" t="inlineStr">
        <is>
          <t xml:space="preserve">Needs crm.view to appear at all. Add, edit, import, merge and delete need crm.manage — absent without it.</t>
        </is>
      </c>
      <c r="I64" s="6" t="inlineStr">
        <is>
          <t xml:space="preserve">Not tested</t>
        </is>
      </c>
      <c r="J64" s="2"/>
      <c r="K64" s="2"/>
      <c r="L64" s="3"/>
    </row>
    <row r="65" spans="1:12" x14ac:dyDescent="0.3">
      <c r="A65" s="2" t="inlineStr">
        <is>
          <t xml:space="preserve">CRM-04</t>
        </is>
      </c>
      <c r="B65" s="2" t="inlineStr">
        <is>
          <t xml:space="preserve">Quest CRM</t>
        </is>
      </c>
      <c r="C65" s="2" t="inlineStr">
        <is>
          <t xml:space="preserve">Modules</t>
        </is>
      </c>
      <c r="D65" s="3" t="inlineStr">
        <is>
          <t xml:space="preserve">Jobs — full loop</t>
        </is>
      </c>
      <c r="E65" s="3" t="inlineStr">
        <is>
          <t xml:space="preserve">Create → edit → move stage on the board → open the record → add photos → delete.</t>
        </is>
      </c>
      <c r="F65" s="2" t="inlineStr">
        <is>
          <t xml:space="preserve">15 actions</t>
        </is>
      </c>
      <c r="G65" s="6" t="inlineStr">
        <is>
          <t xml:space="preserve">Not tested</t>
        </is>
      </c>
      <c r="H65" s="3" t="inlineStr">
        <is>
          <t xml:space="preserve">Needs crm.view to appear at all. Add, edit, import, merge and delete need crm.manage — absent without it.</t>
        </is>
      </c>
      <c r="I65" s="6" t="inlineStr">
        <is>
          <t xml:space="preserve">Not tested</t>
        </is>
      </c>
      <c r="J65" s="2"/>
      <c r="K65" s="2"/>
      <c r="L65" s="3"/>
    </row>
    <row r="66" spans="1:12" ht="28.8" x14ac:dyDescent="0.3">
      <c r="A66" s="2" t="inlineStr">
        <is>
          <t xml:space="preserve">CRM-05</t>
        </is>
      </c>
      <c r="B66" s="2" t="inlineStr">
        <is>
          <t xml:space="preserve">Quest CRM</t>
        </is>
      </c>
      <c r="C66" s="2" t="inlineStr">
        <is>
          <t xml:space="preserve">Modules</t>
        </is>
      </c>
      <c r="D66" s="3" t="inlineStr">
        <is>
          <t xml:space="preserve">Jobs — board drag</t>
        </is>
      </c>
      <c r="E66" s="3" t="inlineStr">
        <is>
          <t xml:space="preserve">Drag a job between pipeline stages. Expect: the stage sticks after a refresh, and any stage automation fires.</t>
        </is>
      </c>
      <c r="F66" s="2"/>
      <c r="G66" s="6" t="inlineStr">
        <is>
          <t xml:space="preserve">Not tested</t>
        </is>
      </c>
      <c r="H66" s="3" t="inlineStr">
        <is>
          <t xml:space="preserve">Needs crm.view to appear at all. Add, edit, import, merge and delete need crm.manage — absent without it.</t>
        </is>
      </c>
      <c r="I66" s="6" t="inlineStr">
        <is>
          <t xml:space="preserve">Not tested</t>
        </is>
      </c>
      <c r="J66" s="2"/>
      <c r="K66" s="2"/>
      <c r="L66" s="3"/>
    </row>
    <row r="67" spans="1:12" x14ac:dyDescent="0.3">
      <c r="A67" s="2" t="inlineStr">
        <is>
          <t xml:space="preserve">CRM-06</t>
        </is>
      </c>
      <c r="B67" s="2" t="inlineStr">
        <is>
          <t xml:space="preserve">Quest CRM</t>
        </is>
      </c>
      <c r="C67" s="2" t="inlineStr">
        <is>
          <t xml:space="preserve">Modules</t>
        </is>
      </c>
      <c r="D67" s="3" t="inlineStr">
        <is>
          <t xml:space="preserve">Quotes — full loop</t>
        </is>
      </c>
      <c r="E67" s="3" t="inlineStr">
        <is>
          <t xml:space="preserve">Create → add and remove line items → change stage → convert to job.</t>
        </is>
      </c>
      <c r="F67" s="2" t="inlineStr">
        <is>
          <t xml:space="preserve">9 actions</t>
        </is>
      </c>
      <c r="G67" s="6" t="inlineStr">
        <is>
          <t xml:space="preserve">Not tested</t>
        </is>
      </c>
      <c r="H67" s="3" t="inlineStr">
        <is>
          <t xml:space="preserve">Needs crm.view to appear at all. Add, edit, import, merge and delete need crm.manage — absent without it.</t>
        </is>
      </c>
      <c r="I67" s="6" t="inlineStr">
        <is>
          <t xml:space="preserve">Not tested</t>
        </is>
      </c>
      <c r="J67" s="2"/>
      <c r="K67" s="2"/>
      <c r="L67" s="3"/>
    </row>
    <row r="68" spans="1:12" x14ac:dyDescent="0.3">
      <c r="A68" s="2" t="inlineStr">
        <is>
          <t xml:space="preserve">CRM-07</t>
        </is>
      </c>
      <c r="B68" s="2" t="inlineStr">
        <is>
          <t xml:space="preserve">Quest CRM</t>
        </is>
      </c>
      <c r="C68" s="2" t="inlineStr">
        <is>
          <t xml:space="preserve">Modules</t>
        </is>
      </c>
      <c r="D68" s="3" t="inlineStr">
        <is>
          <t xml:space="preserve">Proposals — build and share</t>
        </is>
      </c>
      <c r="E68" s="3" t="inlineStr">
        <is>
          <t xml:space="preserve">Open the builder → edit → copy the public link → open it in a private window → export.</t>
        </is>
      </c>
      <c r="F68" s="2" t="inlineStr">
        <is>
          <t xml:space="preserve">8 actions</t>
        </is>
      </c>
      <c r="G68" s="6" t="inlineStr">
        <is>
          <t xml:space="preserve">Not tested</t>
        </is>
      </c>
      <c r="H68" s="3" t="inlineStr">
        <is>
          <t xml:space="preserve">Needs crm.view to appear at all. Add, edit, import, merge and delete need crm.manage — absent without it.</t>
        </is>
      </c>
      <c r="I68" s="6" t="inlineStr">
        <is>
          <t xml:space="preserve">Not tested</t>
        </is>
      </c>
      <c r="J68" s="2"/>
      <c r="K68" s="2"/>
      <c r="L68" s="3"/>
    </row>
    <row r="69" spans="1:12" x14ac:dyDescent="0.3">
      <c r="A69" s="2" t="inlineStr">
        <is>
          <t xml:space="preserve">CRM-08</t>
        </is>
      </c>
      <c r="B69" s="2" t="inlineStr">
        <is>
          <t xml:space="preserve">Quest CRM</t>
        </is>
      </c>
      <c r="C69" s="2" t="inlineStr">
        <is>
          <t xml:space="preserve">Modules</t>
        </is>
      </c>
      <c r="D69" s="3" t="inlineStr">
        <is>
          <t xml:space="preserve">Workday</t>
        </is>
      </c>
      <c r="E69" s="3" t="inlineStr">
        <is>
          <t xml:space="preserve">Work through the next-step flow: open an item, complete it, skip one, use a quick action.</t>
        </is>
      </c>
      <c r="F69" s="2"/>
      <c r="G69" s="6" t="inlineStr">
        <is>
          <t xml:space="preserve">Not tested</t>
        </is>
      </c>
      <c r="H69" s="3" t="inlineStr">
        <is>
          <t xml:space="preserve">Needs crm.view to appear at all. Add, edit, import, merge and delete need crm.manage — absent without it.</t>
        </is>
      </c>
      <c r="I69" s="6" t="inlineStr">
        <is>
          <t xml:space="preserve">Not tested</t>
        </is>
      </c>
      <c r="J69" s="2"/>
      <c r="K69" s="2"/>
      <c r="L69" s="3"/>
    </row>
    <row r="70" spans="1:12" ht="28.8" x14ac:dyDescent="0.3">
      <c r="A70" s="2" t="inlineStr">
        <is>
          <t xml:space="preserve">CRM-09</t>
        </is>
      </c>
      <c r="B70" s="2" t="inlineStr">
        <is>
          <t xml:space="preserve">Quest CRM</t>
        </is>
      </c>
      <c r="C70" s="2" t="inlineStr">
        <is>
          <t xml:space="preserve">Modules</t>
        </is>
      </c>
      <c r="D70" s="3" t="inlineStr">
        <is>
          <t xml:space="preserve">Record history</t>
        </is>
      </c>
      <c r="E70" s="3" t="inlineStr">
        <is>
          <t xml:space="preserve">Open History on a contact, job and quote. Expect: it loads against the right record and shows changes, or an honest empty state.</t>
        </is>
      </c>
      <c r="F70" s="2"/>
      <c r="G70" s="6" t="inlineStr">
        <is>
          <t xml:space="preserve">Not tested</t>
        </is>
      </c>
      <c r="H70" s="3" t="inlineStr">
        <is>
          <t xml:space="preserve">Needs crm.view to appear at all. Add, edit, import, merge and delete need crm.manage — absent without it.</t>
        </is>
      </c>
      <c r="I70" s="6" t="inlineStr">
        <is>
          <t xml:space="preserve">Not tested</t>
        </is>
      </c>
      <c r="J70" s="2"/>
      <c r="K70" s="2"/>
      <c r="L70" s="3"/>
    </row>
    <row r="71" spans="1:12" x14ac:dyDescent="0.3">
      <c r="A71" s="2" t="inlineStr">
        <is>
          <t xml:space="preserve">WS-01</t>
        </is>
      </c>
      <c r="B71" s="2" t="inlineStr">
        <is>
          <t xml:space="preserve">Workspace and App Builder</t>
        </is>
      </c>
      <c r="C71" s="2" t="inlineStr">
        <is>
          <t xml:space="preserve">Modules</t>
        </is>
      </c>
      <c r="D71" s="3" t="inlineStr">
        <is>
          <t xml:space="preserve">App Builder — create an app</t>
        </is>
      </c>
      <c r="E71" s="3" t="inlineStr">
        <is>
          <t xml:space="preserve">New app → add fields of several types → add records → edit → delete.</t>
        </is>
      </c>
      <c r="F71" s="2" t="inlineStr">
        <is>
          <t xml:space="preserve">36 actions</t>
        </is>
      </c>
      <c r="G71" s="6" t="inlineStr">
        <is>
          <t xml:space="preserve">Not tested</t>
        </is>
      </c>
      <c r="H71" s="3" t="inlineStr">
        <is>
          <t xml:space="preserve">Needs workspaces.view to appear. Customize, Add card, Add app, the field builder, sub-item edits and Settings all need workspaces.manage — absent without it.</t>
        </is>
      </c>
      <c r="I71" s="6" t="inlineStr">
        <is>
          <t xml:space="preserve">Not tested</t>
        </is>
      </c>
      <c r="J71" s="2"/>
      <c r="K71" s="2"/>
      <c r="L71" s="3"/>
    </row>
    <row r="72" spans="1:12" ht="28.8" x14ac:dyDescent="0.3">
      <c r="A72" s="2" t="inlineStr">
        <is>
          <t xml:space="preserve">WS-02</t>
        </is>
      </c>
      <c r="B72" s="2" t="inlineStr">
        <is>
          <t xml:space="preserve">Workspace and App Builder</t>
        </is>
      </c>
      <c r="C72" s="2" t="inlineStr">
        <is>
          <t xml:space="preserve">Modules</t>
        </is>
      </c>
      <c r="D72" s="3" t="inlineStr">
        <is>
          <t xml:space="preserve">Field types round-trip</t>
        </is>
      </c>
      <c r="E72" s="3" t="inlineStr">
        <is>
          <t xml:space="preserve">Add one of each field type, fill it, save, reopen. Expect: every value comes back exactly as entered.</t>
        </is>
      </c>
      <c r="F72" s="2" t="inlineStr">
        <is>
          <t xml:space="preserve">critical</t>
        </is>
      </c>
      <c r="G72" s="6" t="inlineStr">
        <is>
          <t xml:space="preserve">Not tested</t>
        </is>
      </c>
      <c r="H72" s="3" t="inlineStr">
        <is>
          <t xml:space="preserve">Needs workspaces.view to appear. Customize, Add card, Add app, the field builder, sub-item edits and Settings all need workspaces.manage — absent without it.</t>
        </is>
      </c>
      <c r="I72" s="6" t="inlineStr">
        <is>
          <t xml:space="preserve">Not tested</t>
        </is>
      </c>
      <c r="J72" s="2"/>
      <c r="K72" s="2"/>
      <c r="L72" s="3"/>
    </row>
    <row r="73" spans="1:12" x14ac:dyDescent="0.3">
      <c r="A73" s="2" t="inlineStr">
        <is>
          <t xml:space="preserve">WS-03</t>
        </is>
      </c>
      <c r="B73" s="2" t="inlineStr">
        <is>
          <t xml:space="preserve">Workspace and App Builder</t>
        </is>
      </c>
      <c r="C73" s="2" t="inlineStr">
        <is>
          <t xml:space="preserve">Modules</t>
        </is>
      </c>
      <c r="D73" s="3" t="inlineStr">
        <is>
          <t xml:space="preserve">Pipeline stages</t>
        </is>
      </c>
      <c r="E73" s="3" t="inlineStr">
        <is>
          <t xml:space="preserve">Manage stages → add, rename, reorder, recolour, delete. Expect: board columns follow.</t>
        </is>
      </c>
      <c r="F73" s="2"/>
      <c r="G73" s="6" t="inlineStr">
        <is>
          <t xml:space="preserve">Not tested</t>
        </is>
      </c>
      <c r="H73" s="3" t="inlineStr">
        <is>
          <t xml:space="preserve">Needs workspaces.view to appear. Customize, Add card, Add app, the field builder, sub-item edits and Settings all need workspaces.manage — absent without it.</t>
        </is>
      </c>
      <c r="I73" s="6" t="inlineStr">
        <is>
          <t xml:space="preserve">Not tested</t>
        </is>
      </c>
      <c r="J73" s="2"/>
      <c r="K73" s="2"/>
      <c r="L73" s="3"/>
    </row>
    <row r="74" spans="1:12" ht="28.8" x14ac:dyDescent="0.3">
      <c r="A74" s="2" t="inlineStr">
        <is>
          <t xml:space="preserve">WS-04</t>
        </is>
      </c>
      <c r="B74" s="2" t="inlineStr">
        <is>
          <t xml:space="preserve">Workspace and App Builder</t>
        </is>
      </c>
      <c r="C74" s="2" t="inlineStr">
        <is>
          <t xml:space="preserve">Modules</t>
        </is>
      </c>
      <c r="D74" s="3" t="inlineStr">
        <is>
          <t xml:space="preserve">Board view</t>
        </is>
      </c>
      <c r="E74" s="3" t="inlineStr">
        <is>
          <t xml:space="preserve">Switch to board, drag records between columns. Expect: no jump back to the top after a drop.</t>
        </is>
      </c>
      <c r="F74" s="2" t="inlineStr">
        <is>
          <t xml:space="preserve">was broken</t>
        </is>
      </c>
      <c r="G74" s="6" t="inlineStr">
        <is>
          <t xml:space="preserve">Not tested</t>
        </is>
      </c>
      <c r="H74" s="3" t="inlineStr">
        <is>
          <t xml:space="preserve">Needs workspaces.view to appear. Customize, Add card, Add app, the field builder, sub-item edits and Settings all need workspaces.manage — absent without it.</t>
        </is>
      </c>
      <c r="I74" s="6" t="inlineStr">
        <is>
          <t xml:space="preserve">Not tested</t>
        </is>
      </c>
      <c r="J74" s="2"/>
      <c r="K74" s="2"/>
      <c r="L74" s="3"/>
    </row>
    <row r="75" spans="1:12" ht="28.8" x14ac:dyDescent="0.3">
      <c r="A75" s="2" t="inlineStr">
        <is>
          <t xml:space="preserve">WS-05</t>
        </is>
      </c>
      <c r="B75" s="2" t="inlineStr">
        <is>
          <t xml:space="preserve">Workspace and App Builder</t>
        </is>
      </c>
      <c r="C75" s="2" t="inlineStr">
        <is>
          <t xml:space="preserve">Modules</t>
        </is>
      </c>
      <c r="D75" s="3" t="inlineStr">
        <is>
          <t xml:space="preserve">Stage automations</t>
        </is>
      </c>
      <c r="E75" s="3" t="inlineStr">
        <is>
          <t xml:space="preserve">Create a rule on a stage change, trigger it. Expect: it fires once, on the change only — not on every save.</t>
        </is>
      </c>
      <c r="F75" s="2"/>
      <c r="G75" s="6" t="inlineStr">
        <is>
          <t xml:space="preserve">Not tested</t>
        </is>
      </c>
      <c r="H75" s="3" t="inlineStr">
        <is>
          <t xml:space="preserve">Needs workspaces.view to appear. Customize, Add card, Add app, the field builder, sub-item edits and Settings all need workspaces.manage — absent without it.</t>
        </is>
      </c>
      <c r="I75" s="6" t="inlineStr">
        <is>
          <t xml:space="preserve">Not tested</t>
        </is>
      </c>
      <c r="J75" s="2"/>
      <c r="K75" s="2"/>
      <c r="L75" s="3"/>
    </row>
    <row r="76" spans="1:12" ht="28.8" x14ac:dyDescent="0.3">
      <c r="A76" s="2" t="inlineStr">
        <is>
          <t xml:space="preserve">WS-06</t>
        </is>
      </c>
      <c r="B76" s="2" t="inlineStr">
        <is>
          <t xml:space="preserve">Workspace and App Builder</t>
        </is>
      </c>
      <c r="C76" s="2" t="inlineStr">
        <is>
          <t xml:space="preserve">Modules</t>
        </is>
      </c>
      <c r="D76" s="3" t="inlineStr">
        <is>
          <t xml:space="preserve">Cross-company app install</t>
        </is>
      </c>
      <c r="E76" s="3" t="inlineStr">
        <is>
          <t xml:space="preserve">Install an app into another company you own: pick company, pick workspace. Expect: it lands in the right place.</t>
        </is>
      </c>
      <c r="F76" s="2" t="inlineStr">
        <is>
          <t xml:space="preserve">new</t>
        </is>
      </c>
      <c r="G76" s="6" t="inlineStr">
        <is>
          <t xml:space="preserve">Not tested</t>
        </is>
      </c>
      <c r="H76" s="3" t="inlineStr">
        <is>
          <t xml:space="preserve">Needs workspaces.view to appear. Customize, Add card, Add app, the field builder, sub-item edits and Settings all need workspaces.manage — absent without it.</t>
        </is>
      </c>
      <c r="I76" s="6" t="inlineStr">
        <is>
          <t xml:space="preserve">Not tested</t>
        </is>
      </c>
      <c r="J76" s="2"/>
      <c r="K76" s="2"/>
      <c r="L76" s="3"/>
    </row>
    <row r="77" spans="1:12" ht="28.8" x14ac:dyDescent="0.3">
      <c r="A77" s="2" t="inlineStr">
        <is>
          <t xml:space="preserve">WS-07</t>
        </is>
      </c>
      <c r="B77" s="2" t="inlineStr">
        <is>
          <t xml:space="preserve">Workspace and App Builder</t>
        </is>
      </c>
      <c r="C77" s="2" t="inlineStr">
        <is>
          <t xml:space="preserve">Modules</t>
        </is>
      </c>
      <c r="D77" s="3" t="inlineStr">
        <is>
          <t xml:space="preserve">Import and export</t>
        </is>
      </c>
      <c r="E77" s="3" t="inlineStr">
        <is>
          <t xml:space="preserve">Export an app's records to CSV, print, then re-import. Expect: Download, Export, Import and Print all work.</t>
        </is>
      </c>
      <c r="F77" s="2" t="inlineStr">
        <is>
          <t xml:space="preserve">was broken</t>
        </is>
      </c>
      <c r="G77" s="6" t="inlineStr">
        <is>
          <t xml:space="preserve">Not tested</t>
        </is>
      </c>
      <c r="H77" s="3" t="inlineStr">
        <is>
          <t xml:space="preserve">Needs workspaces.view to appear. Customize, Add card, Add app, the field builder, sub-item edits and Settings all need workspaces.manage — absent without it.</t>
        </is>
      </c>
      <c r="I77" s="6" t="inlineStr">
        <is>
          <t xml:space="preserve">Not tested</t>
        </is>
      </c>
      <c r="J77" s="2"/>
      <c r="K77" s="2"/>
      <c r="L77" s="3"/>
    </row>
    <row r="78" spans="1:12" x14ac:dyDescent="0.3">
      <c r="A78" s="2" t="inlineStr">
        <is>
          <t xml:space="preserve">WS-08</t>
        </is>
      </c>
      <c r="B78" s="2" t="inlineStr">
        <is>
          <t xml:space="preserve">Workspace and App Builder</t>
        </is>
      </c>
      <c r="C78" s="2" t="inlineStr">
        <is>
          <t xml:space="preserve">Modules</t>
        </is>
      </c>
      <c r="D78" s="3" t="inlineStr">
        <is>
          <t xml:space="preserve">Reports tab</t>
        </is>
      </c>
      <c r="E78" s="3" t="inlineStr">
        <is>
          <t xml:space="preserve">Expect: charts render with correct totals — and an empty app reports zero, not one.</t>
        </is>
      </c>
      <c r="F78" s="2"/>
      <c r="G78" s="6" t="inlineStr">
        <is>
          <t xml:space="preserve">Not tested</t>
        </is>
      </c>
      <c r="H78" s="3" t="inlineStr">
        <is>
          <t xml:space="preserve">Needs workspaces.view to appear. Customize, Add card, Add app, the field builder, sub-item edits and Settings all need workspaces.manage — absent without it.</t>
        </is>
      </c>
      <c r="I78" s="6" t="inlineStr">
        <is>
          <t xml:space="preserve">Not tested</t>
        </is>
      </c>
      <c r="J78" s="2"/>
      <c r="K78" s="2"/>
      <c r="L78" s="3"/>
    </row>
    <row r="79" spans="1:12" x14ac:dyDescent="0.3">
      <c r="A79" s="2" t="inlineStr">
        <is>
          <t xml:space="preserve">WS-09</t>
        </is>
      </c>
      <c r="B79" s="2" t="inlineStr">
        <is>
          <t xml:space="preserve">Workspace and App Builder</t>
        </is>
      </c>
      <c r="C79" s="2" t="inlineStr">
        <is>
          <t xml:space="preserve">Modules</t>
        </is>
      </c>
      <c r="D79" s="3" t="inlineStr">
        <is>
          <t xml:space="preserve">Workspace backups</t>
        </is>
      </c>
      <c r="E79" s="3" t="inlineStr">
        <is>
          <t xml:space="preserve">Create a backup, download it, restore it. Expect: the restore returns the structure intact.</t>
        </is>
      </c>
      <c r="F79" s="2" t="inlineStr">
        <is>
          <t xml:space="preserve">critical</t>
        </is>
      </c>
      <c r="G79" s="6" t="inlineStr">
        <is>
          <t xml:space="preserve">Not tested</t>
        </is>
      </c>
      <c r="H79" s="3" t="inlineStr">
        <is>
          <t xml:space="preserve">Needs workspaces.view to appear. Customize, Add card, Add app, the field builder, sub-item edits and Settings all need workspaces.manage — absent without it.</t>
        </is>
      </c>
      <c r="I79" s="6" t="inlineStr">
        <is>
          <t xml:space="preserve">Not tested</t>
        </is>
      </c>
      <c r="J79" s="2"/>
      <c r="K79" s="2"/>
      <c r="L79" s="3"/>
    </row>
    <row r="80" spans="1:12" ht="28.8" x14ac:dyDescent="0.3">
      <c r="A80" s="2" t="inlineStr">
        <is>
          <t xml:space="preserve">WS-10</t>
        </is>
      </c>
      <c r="B80" s="2" t="inlineStr">
        <is>
          <t xml:space="preserve">Workspace and App Builder</t>
        </is>
      </c>
      <c r="C80" s="2" t="inlineStr">
        <is>
          <t xml:space="preserve">Modules</t>
        </is>
      </c>
      <c r="D80" s="3" t="inlineStr">
        <is>
          <t xml:space="preserve">Forms</t>
        </is>
      </c>
      <c r="E80" s="3" t="inlineStr">
        <is>
          <t xml:space="preserve">Build a form → add questions and options → preview → publish → submit it publicly → read the response → create a contact/task/job from it.</t>
        </is>
      </c>
      <c r="F80" s="2" t="inlineStr">
        <is>
          <t xml:space="preserve">40 actions</t>
        </is>
      </c>
      <c r="G80" s="6" t="inlineStr">
        <is>
          <t xml:space="preserve">Not tested</t>
        </is>
      </c>
      <c r="H80" s="3" t="inlineStr">
        <is>
          <t xml:space="preserve">Needs workspaces.view to appear. Customize, Add card, Add app, the field builder, sub-item edits and Settings all need workspaces.manage — absent without it.</t>
        </is>
      </c>
      <c r="I80" s="6" t="inlineStr">
        <is>
          <t xml:space="preserve">Not tested</t>
        </is>
      </c>
      <c r="J80" s="2"/>
      <c r="K80" s="2"/>
      <c r="L80" s="3"/>
    </row>
    <row r="81" spans="1:12" ht="28.8" x14ac:dyDescent="0.3">
      <c r="A81" s="2" t="inlineStr">
        <is>
          <t xml:space="preserve">WS-11</t>
        </is>
      </c>
      <c r="B81" s="2" t="inlineStr">
        <is>
          <t xml:space="preserve">Workspace and App Builder</t>
        </is>
      </c>
      <c r="C81" s="2" t="inlineStr">
        <is>
          <t xml:space="preserve">Modules</t>
        </is>
      </c>
      <c r="D81" s="3" t="inlineStr">
        <is>
          <t xml:space="preserve">Client portals</t>
        </is>
      </c>
      <c r="E81" s="3" t="inlineStr">
        <is>
          <t xml:space="preserve">Create → upload a document → annotate, place markers, zoom, undo/redo → comment → export.</t>
        </is>
      </c>
      <c r="F81" s="2" t="inlineStr">
        <is>
          <t xml:space="preserve">34 actions</t>
        </is>
      </c>
      <c r="G81" s="6" t="inlineStr">
        <is>
          <t xml:space="preserve">Not tested</t>
        </is>
      </c>
      <c r="H81" s="3" t="inlineStr">
        <is>
          <t xml:space="preserve">Needs workspaces.view to appear. Customize, Add card, Add app, the field builder, sub-item edits and Settings all need workspaces.manage — absent without it.</t>
        </is>
      </c>
      <c r="I81" s="6" t="inlineStr">
        <is>
          <t xml:space="preserve">Not tested</t>
        </is>
      </c>
      <c r="J81" s="2"/>
      <c r="K81" s="2"/>
      <c r="L81" s="3"/>
    </row>
    <row r="82" spans="1:12" x14ac:dyDescent="0.3">
      <c r="A82" s="2" t="inlineStr">
        <is>
          <t xml:space="preserve">OPS-01</t>
        </is>
      </c>
      <c r="B82" s="2" t="inlineStr">
        <is>
          <t xml:space="preserve">Operations, finance and estimating</t>
        </is>
      </c>
      <c r="C82" s="2" t="inlineStr">
        <is>
          <t xml:space="preserve">Modules</t>
        </is>
      </c>
      <c r="D82" s="3" t="inlineStr">
        <is>
          <t xml:space="preserve">Files and Drive</t>
        </is>
      </c>
      <c r="E82" s="3" t="inlineStr">
        <is>
          <t xml:space="preserve">Upload → move → copy → select several → transfer → download → delete.</t>
        </is>
      </c>
      <c r="F82" s="2" t="inlineStr">
        <is>
          <t xml:space="preserve">16 actions</t>
        </is>
      </c>
      <c r="G82" s="6" t="inlineStr">
        <is>
          <t xml:space="preserve">Not tested</t>
        </is>
      </c>
      <c r="H82" s="3" t="inlineStr">
        <is>
          <t xml:space="preserve">Each module needs its own .view (finance.view, eod.view, price_book…). Editing needs the matching .manage. Figures must not be visible at all without the .view.</t>
        </is>
      </c>
      <c r="I82" s="6" t="inlineStr">
        <is>
          <t xml:space="preserve">Not tested</t>
        </is>
      </c>
      <c r="J82" s="2"/>
      <c r="K82" s="2"/>
      <c r="L82" s="3"/>
    </row>
    <row r="83" spans="1:12" x14ac:dyDescent="0.3">
      <c r="A83" s="2" t="inlineStr">
        <is>
          <t xml:space="preserve">OPS-02</t>
        </is>
      </c>
      <c r="B83" s="2" t="inlineStr">
        <is>
          <t xml:space="preserve">Operations, finance and estimating</t>
        </is>
      </c>
      <c r="C83" s="2" t="inlineStr">
        <is>
          <t xml:space="preserve">Modules</t>
        </is>
      </c>
      <c r="D83" s="3" t="inlineStr">
        <is>
          <t xml:space="preserve">Finance</t>
        </is>
      </c>
      <c r="E83" s="3" t="inlineStr">
        <is>
          <t xml:space="preserve">Create an invoice, an expense, a payment and a vendor; edit each.</t>
        </is>
      </c>
      <c r="F83" s="2" t="inlineStr">
        <is>
          <t xml:space="preserve">7 actions</t>
        </is>
      </c>
      <c r="G83" s="6" t="inlineStr">
        <is>
          <t xml:space="preserve">Not tested</t>
        </is>
      </c>
      <c r="H83" s="3" t="inlineStr">
        <is>
          <t xml:space="preserve">Each module needs its own .view (finance.view, eod.view, price_book…). Editing needs the matching .manage. Figures must not be visible at all without the .view.</t>
        </is>
      </c>
      <c r="I83" s="6" t="inlineStr">
        <is>
          <t xml:space="preserve">Not tested</t>
        </is>
      </c>
      <c r="J83" s="2"/>
      <c r="K83" s="2"/>
      <c r="L83" s="3"/>
    </row>
    <row r="84" spans="1:12" x14ac:dyDescent="0.3">
      <c r="A84" s="2" t="inlineStr">
        <is>
          <t xml:space="preserve">OPS-03</t>
        </is>
      </c>
      <c r="B84" s="2" t="inlineStr">
        <is>
          <t xml:space="preserve">Operations, finance and estimating</t>
        </is>
      </c>
      <c r="C84" s="2" t="inlineStr">
        <is>
          <t xml:space="preserve">Modules</t>
        </is>
      </c>
      <c r="D84" s="3" t="inlineStr">
        <is>
          <t xml:space="preserve">Price Book</t>
        </is>
      </c>
      <c r="E84" s="3" t="inlineStr">
        <is>
          <t xml:space="preserve">Add a vendor and material → edit cost → sort → categorise → import → delete a row.</t>
        </is>
      </c>
      <c r="F84" s="2" t="inlineStr">
        <is>
          <t xml:space="preserve">13 actions</t>
        </is>
      </c>
      <c r="G84" s="6" t="inlineStr">
        <is>
          <t xml:space="preserve">Not tested</t>
        </is>
      </c>
      <c r="H84" s="3" t="inlineStr">
        <is>
          <t xml:space="preserve">Each module needs its own .view (finance.view, eod.view, price_book…). Editing needs the matching .manage. Figures must not be visible at all without the .view.</t>
        </is>
      </c>
      <c r="I84" s="6" t="inlineStr">
        <is>
          <t xml:space="preserve">Not tested</t>
        </is>
      </c>
      <c r="J84" s="2"/>
      <c r="K84" s="2"/>
      <c r="L84" s="3"/>
    </row>
    <row r="85" spans="1:12" x14ac:dyDescent="0.3">
      <c r="A85" s="2" t="inlineStr">
        <is>
          <t xml:space="preserve">OPS-04</t>
        </is>
      </c>
      <c r="B85" s="2" t="inlineStr">
        <is>
          <t xml:space="preserve">Operations, finance and estimating</t>
        </is>
      </c>
      <c r="C85" s="2" t="inlineStr">
        <is>
          <t xml:space="preserve">Modules</t>
        </is>
      </c>
      <c r="D85" s="3" t="inlineStr">
        <is>
          <t xml:space="preserve">Calendar</t>
        </is>
      </c>
      <c r="E85" s="3" t="inlineStr">
        <is>
          <t xml:space="preserve">Add an event → edit → move between views → change scope → delete.</t>
        </is>
      </c>
      <c r="F85" s="2" t="inlineStr">
        <is>
          <t xml:space="preserve">9 actions</t>
        </is>
      </c>
      <c r="G85" s="6" t="inlineStr">
        <is>
          <t xml:space="preserve">Not tested</t>
        </is>
      </c>
      <c r="H85" s="3" t="inlineStr">
        <is>
          <t xml:space="preserve">Each module needs its own .view (finance.view, eod.view, price_book…). Editing needs the matching .manage. Figures must not be visible at all without the .view.</t>
        </is>
      </c>
      <c r="I85" s="6" t="inlineStr">
        <is>
          <t xml:space="preserve">Not tested</t>
        </is>
      </c>
      <c r="J85" s="2"/>
      <c r="K85" s="2"/>
      <c r="L85" s="3"/>
    </row>
    <row r="86" spans="1:12" x14ac:dyDescent="0.3">
      <c r="A86" s="2" t="inlineStr">
        <is>
          <t xml:space="preserve">OPS-05</t>
        </is>
      </c>
      <c r="B86" s="2" t="inlineStr">
        <is>
          <t xml:space="preserve">Operations, finance and estimating</t>
        </is>
      </c>
      <c r="C86" s="2" t="inlineStr">
        <is>
          <t xml:space="preserve">Modules</t>
        </is>
      </c>
      <c r="D86" s="3" t="inlineStr">
        <is>
          <t xml:space="preserve">Time and clock</t>
        </is>
      </c>
      <c r="E86" s="3" t="inlineStr">
        <is>
          <t xml:space="preserve">Clock in, clock out. Expect: the entry lands with the right duration on the clock dashboard.</t>
        </is>
      </c>
      <c r="F86" s="2"/>
      <c r="G86" s="6" t="inlineStr">
        <is>
          <t xml:space="preserve">Not tested</t>
        </is>
      </c>
      <c r="H86" s="3" t="inlineStr">
        <is>
          <t xml:space="preserve">Each module needs its own .view (finance.view, eod.view, price_book…). Editing needs the matching .manage. Figures must not be visible at all without the .view.</t>
        </is>
      </c>
      <c r="I86" s="6" t="inlineStr">
        <is>
          <t xml:space="preserve">Not tested</t>
        </is>
      </c>
      <c r="J86" s="2"/>
      <c r="K86" s="2"/>
      <c r="L86" s="3"/>
    </row>
    <row r="87" spans="1:12" x14ac:dyDescent="0.3">
      <c r="A87" s="2" t="inlineStr">
        <is>
          <t xml:space="preserve">OPS-06</t>
        </is>
      </c>
      <c r="B87" s="2" t="inlineStr">
        <is>
          <t xml:space="preserve">Operations, finance and estimating</t>
        </is>
      </c>
      <c r="C87" s="2" t="inlineStr">
        <is>
          <t xml:space="preserve">Modules</t>
        </is>
      </c>
      <c r="D87" s="3" t="inlineStr">
        <is>
          <t xml:space="preserve">Approvals</t>
        </is>
      </c>
      <c r="E87" s="3" t="inlineStr">
        <is>
          <t xml:space="preserve">Submit something for approval, then approve and reject as the right role.</t>
        </is>
      </c>
      <c r="F87" s="2"/>
      <c r="G87" s="6" t="inlineStr">
        <is>
          <t xml:space="preserve">Not tested</t>
        </is>
      </c>
      <c r="H87" s="3" t="inlineStr">
        <is>
          <t xml:space="preserve">Each module needs its own .view (finance.view, eod.view, price_book…). Editing needs the matching .manage. Figures must not be visible at all without the .view.</t>
        </is>
      </c>
      <c r="I87" s="6" t="inlineStr">
        <is>
          <t xml:space="preserve">Not tested</t>
        </is>
      </c>
      <c r="J87" s="2"/>
      <c r="K87" s="2"/>
      <c r="L87" s="3"/>
    </row>
    <row r="88" spans="1:12" x14ac:dyDescent="0.3">
      <c r="A88" s="2" t="inlineStr">
        <is>
          <t xml:space="preserve">OPS-07</t>
        </is>
      </c>
      <c r="B88" s="2" t="inlineStr">
        <is>
          <t xml:space="preserve">Operations, finance and estimating</t>
        </is>
      </c>
      <c r="C88" s="2" t="inlineStr">
        <is>
          <t xml:space="preserve">Modules</t>
        </is>
      </c>
      <c r="D88" s="3" t="inlineStr">
        <is>
          <t xml:space="preserve">EOD reports</t>
        </is>
      </c>
      <c r="E88" s="3" t="inlineStr">
        <is>
          <t xml:space="preserve">Write, edit, review and export a report to CSV.</t>
        </is>
      </c>
      <c r="F88" s="2"/>
      <c r="G88" s="6" t="inlineStr">
        <is>
          <t xml:space="preserve">Not tested</t>
        </is>
      </c>
      <c r="H88" s="3" t="inlineStr">
        <is>
          <t xml:space="preserve">Each module needs its own .view (finance.view, eod.view, price_book…). Editing needs the matching .manage. Figures must not be visible at all without the .view.</t>
        </is>
      </c>
      <c r="I88" s="6" t="inlineStr">
        <is>
          <t xml:space="preserve">Not tested</t>
        </is>
      </c>
      <c r="J88" s="2"/>
      <c r="K88" s="2"/>
      <c r="L88" s="3"/>
    </row>
    <row r="89" spans="1:12" x14ac:dyDescent="0.3">
      <c r="A89" s="2" t="inlineStr">
        <is>
          <t xml:space="preserve">OPS-08</t>
        </is>
      </c>
      <c r="B89" s="2" t="inlineStr">
        <is>
          <t xml:space="preserve">Operations, finance and estimating</t>
        </is>
      </c>
      <c r="C89" s="2" t="inlineStr">
        <is>
          <t xml:space="preserve">Modules</t>
        </is>
      </c>
      <c r="D89" s="3" t="inlineStr">
        <is>
          <t xml:space="preserve">Team workload and team chart</t>
        </is>
      </c>
      <c r="E89" s="3" t="inlineStr">
        <is>
          <t xml:space="preserve">Expect: both render with real people and no console error.</t>
        </is>
      </c>
      <c r="F89" s="2"/>
      <c r="G89" s="6" t="inlineStr">
        <is>
          <t xml:space="preserve">Not tested</t>
        </is>
      </c>
      <c r="H89" s="3" t="inlineStr">
        <is>
          <t xml:space="preserve">Each module needs its own .view (finance.view, eod.view, price_book…). Editing needs the matching .manage. Figures must not be visible at all without the .view.</t>
        </is>
      </c>
      <c r="I89" s="6" t="inlineStr">
        <is>
          <t xml:space="preserve">Not tested</t>
        </is>
      </c>
      <c r="J89" s="2"/>
      <c r="K89" s="2"/>
      <c r="L89" s="3"/>
    </row>
    <row r="90" spans="1:12" x14ac:dyDescent="0.3">
      <c r="A90" s="2" t="inlineStr">
        <is>
          <t xml:space="preserve">OPS-09</t>
        </is>
      </c>
      <c r="B90" s="2" t="inlineStr">
        <is>
          <t xml:space="preserve">Operations, finance and estimating</t>
        </is>
      </c>
      <c r="C90" s="2" t="inlineStr">
        <is>
          <t xml:space="preserve">Modules</t>
        </is>
      </c>
      <c r="D90" s="3" t="inlineStr">
        <is>
          <t xml:space="preserve">Knowledge base</t>
        </is>
      </c>
      <c r="E90" s="3" t="inlineStr">
        <is>
          <t xml:space="preserve">Create → edit → delete an article.</t>
        </is>
      </c>
      <c r="F90" s="2" t="inlineStr">
        <is>
          <t xml:space="preserve">5 actions</t>
        </is>
      </c>
      <c r="G90" s="6" t="inlineStr">
        <is>
          <t xml:space="preserve">Not tested</t>
        </is>
      </c>
      <c r="H90" s="3" t="inlineStr">
        <is>
          <t xml:space="preserve">Each module needs its own .view (finance.view, eod.view, price_book…). Editing needs the matching .manage. Figures must not be visible at all without the .view.</t>
        </is>
      </c>
      <c r="I90" s="6" t="inlineStr">
        <is>
          <t xml:space="preserve">Not tested</t>
        </is>
      </c>
      <c r="J90" s="2"/>
      <c r="K90" s="2"/>
      <c r="L90" s="3"/>
    </row>
    <row r="91" spans="1:12" ht="28.8" x14ac:dyDescent="0.3">
      <c r="A91" s="2" t="inlineStr">
        <is>
          <t xml:space="preserve">OPS-10</t>
        </is>
      </c>
      <c r="B91" s="2" t="inlineStr">
        <is>
          <t xml:space="preserve">Operations, finance and estimating</t>
        </is>
      </c>
      <c r="C91" s="2" t="inlineStr">
        <is>
          <t xml:space="preserve">Modules</t>
        </is>
      </c>
      <c r="D91" s="3" t="inlineStr">
        <is>
          <t xml:space="preserve">Tasks</t>
        </is>
      </c>
      <c r="E91" s="3" t="inlineStr">
        <is>
          <t xml:space="preserve">Create from several places (record, palette, workspace), complete, delete. Check a recurring task rolls forward.</t>
        </is>
      </c>
      <c r="F91" s="2"/>
      <c r="G91" s="6" t="inlineStr">
        <is>
          <t xml:space="preserve">Not tested</t>
        </is>
      </c>
      <c r="H91" s="3" t="inlineStr">
        <is>
          <t xml:space="preserve">Each module needs its own .view (finance.view, eod.view, price_book…). Editing needs the matching .manage. Figures must not be visible at all without the .view.</t>
        </is>
      </c>
      <c r="I91" s="6" t="inlineStr">
        <is>
          <t xml:space="preserve">Not tested</t>
        </is>
      </c>
      <c r="J91" s="2"/>
      <c r="K91" s="2"/>
      <c r="L91" s="3"/>
    </row>
    <row r="92" spans="1:12" x14ac:dyDescent="0.3">
      <c r="A92" s="2" t="inlineStr">
        <is>
          <t xml:space="preserve">MSG-01</t>
        </is>
      </c>
      <c r="B92" s="2" t="inlineStr">
        <is>
          <t xml:space="preserve">Messages, notifications and search</t>
        </is>
      </c>
      <c r="C92" s="2" t="inlineStr">
        <is>
          <t xml:space="preserve">Modules</t>
        </is>
      </c>
      <c r="D92" s="3" t="inlineStr">
        <is>
          <t xml:space="preserve">Direct messages</t>
        </is>
      </c>
      <c r="E92" s="3" t="inlineStr">
        <is>
          <t xml:space="preserve">Start a new direct message, send, attach a file, edit, delete.</t>
        </is>
      </c>
      <c r="F92" s="2" t="inlineStr">
        <is>
          <t xml:space="preserve">23 actions</t>
        </is>
      </c>
      <c r="G92" s="6" t="inlineStr">
        <is>
          <t xml:space="preserve">Not tested</t>
        </is>
      </c>
      <c r="H92" s="3" t="inlineStr">
        <is>
          <t xml:space="preserve">Needs messages.view. Sending needs messages.send. Deleting somebody else’s message needs messages.delete_any. Search must never return a record the role cannot open.</t>
        </is>
      </c>
      <c r="I92" s="6" t="inlineStr">
        <is>
          <t xml:space="preserve">Not tested</t>
        </is>
      </c>
      <c r="J92" s="2"/>
      <c r="K92" s="2"/>
      <c r="L92" s="3"/>
    </row>
    <row r="93" spans="1:12" x14ac:dyDescent="0.3">
      <c r="A93" s="2" t="inlineStr">
        <is>
          <t xml:space="preserve">MSG-02</t>
        </is>
      </c>
      <c r="B93" s="2" t="inlineStr">
        <is>
          <t xml:space="preserve">Messages, notifications and search</t>
        </is>
      </c>
      <c r="C93" s="2" t="inlineStr">
        <is>
          <t xml:space="preserve">Modules</t>
        </is>
      </c>
      <c r="D93" s="3" t="inlineStr">
        <is>
          <t xml:space="preserve">Group messages</t>
        </is>
      </c>
      <c r="E93" s="3" t="inlineStr">
        <is>
          <t xml:space="preserve">Create a group, set its icon, manage members.</t>
        </is>
      </c>
      <c r="F93" s="2"/>
      <c r="G93" s="6" t="inlineStr">
        <is>
          <t xml:space="preserve">Not tested</t>
        </is>
      </c>
      <c r="H93" s="3" t="inlineStr">
        <is>
          <t xml:space="preserve">Needs messages.view. Sending needs messages.send. Deleting somebody else’s message needs messages.delete_any. Search must never return a record the role cannot open.</t>
        </is>
      </c>
      <c r="I93" s="6" t="inlineStr">
        <is>
          <t xml:space="preserve">Not tested</t>
        </is>
      </c>
      <c r="J93" s="2"/>
      <c r="K93" s="2"/>
      <c r="L93" s="3"/>
    </row>
    <row r="94" spans="1:12" x14ac:dyDescent="0.3">
      <c r="A94" s="2" t="inlineStr">
        <is>
          <t xml:space="preserve">MSG-03</t>
        </is>
      </c>
      <c r="B94" s="2" t="inlineStr">
        <is>
          <t xml:space="preserve">Messages, notifications and search</t>
        </is>
      </c>
      <c r="C94" s="2" t="inlineStr">
        <is>
          <t xml:space="preserve">Modules</t>
        </is>
      </c>
      <c r="D94" s="3" t="inlineStr">
        <is>
          <t xml:space="preserve">Message dock</t>
        </is>
      </c>
      <c r="E94" s="3" t="inlineStr">
        <is>
          <t xml:space="preserve">Open the floating dock, switch tabs, open a conversation, minimise, close.</t>
        </is>
      </c>
      <c r="F94" s="2"/>
      <c r="G94" s="6" t="inlineStr">
        <is>
          <t xml:space="preserve">Not tested</t>
        </is>
      </c>
      <c r="H94" s="3" t="inlineStr">
        <is>
          <t xml:space="preserve">Needs messages.view. Sending needs messages.send. Deleting somebody else’s message needs messages.delete_any. Search must never return a record the role cannot open.</t>
        </is>
      </c>
      <c r="I94" s="6" t="inlineStr">
        <is>
          <t xml:space="preserve">Not tested</t>
        </is>
      </c>
      <c r="J94" s="2"/>
      <c r="K94" s="2"/>
      <c r="L94" s="3"/>
    </row>
    <row r="95" spans="1:12" x14ac:dyDescent="0.3">
      <c r="A95" s="2" t="inlineStr">
        <is>
          <t xml:space="preserve">MSG-04</t>
        </is>
      </c>
      <c r="B95" s="2" t="inlineStr">
        <is>
          <t xml:space="preserve">Messages, notifications and search</t>
        </is>
      </c>
      <c r="C95" s="2" t="inlineStr">
        <is>
          <t xml:space="preserve">Modules</t>
        </is>
      </c>
      <c r="D95" s="3" t="inlineStr">
        <is>
          <t xml:space="preserve">Presence ring</t>
        </is>
      </c>
      <c r="E95" s="3" t="inlineStr">
        <is>
          <t xml:space="preserve">Expect: a green ring on people who are online, grey on those who are not.</t>
        </is>
      </c>
      <c r="F95" s="2"/>
      <c r="G95" s="6" t="inlineStr">
        <is>
          <t xml:space="preserve">Not tested</t>
        </is>
      </c>
      <c r="H95" s="3" t="inlineStr">
        <is>
          <t xml:space="preserve">Needs messages.view. Sending needs messages.send. Deleting somebody else’s message needs messages.delete_any. Search must never return a record the role cannot open.</t>
        </is>
      </c>
      <c r="I95" s="6" t="inlineStr">
        <is>
          <t xml:space="preserve">Not tested</t>
        </is>
      </c>
      <c r="J95" s="2"/>
      <c r="K95" s="2"/>
      <c r="L95" s="3"/>
    </row>
    <row r="96" spans="1:12" x14ac:dyDescent="0.3">
      <c r="A96" s="2" t="inlineStr">
        <is>
          <t xml:space="preserve">MSG-05</t>
        </is>
      </c>
      <c r="B96" s="2" t="inlineStr">
        <is>
          <t xml:space="preserve">Messages, notifications and search</t>
        </is>
      </c>
      <c r="C96" s="2" t="inlineStr">
        <is>
          <t xml:space="preserve">Modules</t>
        </is>
      </c>
      <c r="D96" s="3" t="inlineStr">
        <is>
          <t xml:space="preserve">Notifications</t>
        </is>
      </c>
      <c r="E96" s="3" t="inlineStr">
        <is>
          <t xml:space="preserve">Open the bell, open an item, mark all read.</t>
        </is>
      </c>
      <c r="F96" s="2"/>
      <c r="G96" s="6" t="inlineStr">
        <is>
          <t xml:space="preserve">Not tested</t>
        </is>
      </c>
      <c r="H96" s="3" t="inlineStr">
        <is>
          <t xml:space="preserve">Needs messages.view. Sending needs messages.send. Deleting somebody else’s message needs messages.delete_any. Search must never return a record the role cannot open.</t>
        </is>
      </c>
      <c r="I96" s="6" t="inlineStr">
        <is>
          <t xml:space="preserve">Not tested</t>
        </is>
      </c>
      <c r="J96" s="2"/>
      <c r="K96" s="2"/>
      <c r="L96" s="3"/>
    </row>
    <row r="97" spans="1:12" x14ac:dyDescent="0.3">
      <c r="A97" s="2" t="inlineStr">
        <is>
          <t xml:space="preserve">MSG-06</t>
        </is>
      </c>
      <c r="B97" s="2" t="inlineStr">
        <is>
          <t xml:space="preserve">Messages, notifications and search</t>
        </is>
      </c>
      <c r="C97" s="2" t="inlineStr">
        <is>
          <t xml:space="preserve">Modules</t>
        </is>
      </c>
      <c r="D97" s="3" t="inlineStr">
        <is>
          <t xml:space="preserve">Command palette</t>
        </is>
      </c>
      <c r="E97" s="3" t="inlineStr">
        <is>
          <t xml:space="preserve">Ctrl+K → search a record → run a command → create a task and a contact from it.</t>
        </is>
      </c>
      <c r="F97" s="2"/>
      <c r="G97" s="6" t="inlineStr">
        <is>
          <t xml:space="preserve">Not tested</t>
        </is>
      </c>
      <c r="H97" s="3" t="inlineStr">
        <is>
          <t xml:space="preserve">Needs messages.view. Sending needs messages.send. Deleting somebody else’s message needs messages.delete_any. Search must never return a record the role cannot open.</t>
        </is>
      </c>
      <c r="I97" s="6" t="inlineStr">
        <is>
          <t xml:space="preserve">Not tested</t>
        </is>
      </c>
      <c r="J97" s="2"/>
      <c r="K97" s="2"/>
      <c r="L97" s="3"/>
    </row>
    <row r="98" spans="1:12" x14ac:dyDescent="0.3">
      <c r="A98" s="2" t="inlineStr">
        <is>
          <t xml:space="preserve">MSG-07</t>
        </is>
      </c>
      <c r="B98" s="2" t="inlineStr">
        <is>
          <t xml:space="preserve">Messages, notifications and search</t>
        </is>
      </c>
      <c r="C98" s="2" t="inlineStr">
        <is>
          <t xml:space="preserve">Modules</t>
        </is>
      </c>
      <c r="D98" s="3" t="inlineStr">
        <is>
          <t xml:space="preserve">Global search</t>
        </is>
      </c>
      <c r="E98" s="3" t="inlineStr">
        <is>
          <t xml:space="preserve">Type in the topbar search. Expect: the palette opens with your text carried in.</t>
        </is>
      </c>
      <c r="F98" s="2"/>
      <c r="G98" s="6" t="inlineStr">
        <is>
          <t xml:space="preserve">Not tested</t>
        </is>
      </c>
      <c r="H98" s="3" t="inlineStr">
        <is>
          <t xml:space="preserve">Needs messages.view. Sending needs messages.send. Deleting somebody else’s message needs messages.delete_any. Search must never return a record the role cannot open.</t>
        </is>
      </c>
      <c r="I98" s="6" t="inlineStr">
        <is>
          <t xml:space="preserve">Not tested</t>
        </is>
      </c>
      <c r="J98" s="2"/>
      <c r="K98" s="2"/>
      <c r="L98" s="3"/>
    </row>
    <row r="99" spans="1:12" x14ac:dyDescent="0.3">
      <c r="A99" s="2" t="inlineStr">
        <is>
          <t xml:space="preserve">ADM-01</t>
        </is>
      </c>
      <c r="B99" s="2" t="inlineStr">
        <is>
          <t xml:space="preserve">Company, users and platform</t>
        </is>
      </c>
      <c r="C99" s="2" t="inlineStr">
        <is>
          <t xml:space="preserve">Modules</t>
        </is>
      </c>
      <c r="D99" s="3" t="inlineStr">
        <is>
          <t xml:space="preserve">Users and invites</t>
        </is>
      </c>
      <c r="E99" s="3" t="inlineStr">
        <is>
          <t xml:space="preserve">Send an invite, copy the code and link, revoke it. Approve and reject a join request.</t>
        </is>
      </c>
      <c r="F99" s="2" t="inlineStr">
        <is>
          <t xml:space="preserve">11 actions</t>
        </is>
      </c>
      <c r="G99" s="6" t="inlineStr">
        <is>
          <t xml:space="preserve">Not tested</t>
        </is>
      </c>
      <c r="H99" s="3" t="inlineStr">
        <is>
          <t xml:space="preserve">Users needs users.view, and changing anything needs users.manage. Roles and Settings likewise. A member must never be able to widen its own role.</t>
        </is>
      </c>
      <c r="I99" s="6" t="inlineStr">
        <is>
          <t xml:space="preserve">Not tested</t>
        </is>
      </c>
      <c r="J99" s="2"/>
      <c r="K99" s="2"/>
      <c r="L99" s="3"/>
    </row>
    <row r="100" spans="1:12" ht="28.8" x14ac:dyDescent="0.3">
      <c r="A100" s="2" t="inlineStr">
        <is>
          <t xml:space="preserve">ADM-02</t>
        </is>
      </c>
      <c r="B100" s="2" t="inlineStr">
        <is>
          <t xml:space="preserve">Company, users and platform</t>
        </is>
      </c>
      <c r="C100" s="2" t="inlineStr">
        <is>
          <t xml:space="preserve">Modules</t>
        </is>
      </c>
      <c r="D100" s="3" t="inlineStr">
        <is>
          <t xml:space="preserve">Roles and permissions</t>
        </is>
      </c>
      <c r="E100" s="3" t="inlineStr">
        <is>
          <t xml:space="preserve">Create a role, set permissions, assign it, then use "View as role" to check what that person sees.</t>
        </is>
      </c>
      <c r="F100" s="2" t="inlineStr">
        <is>
          <t xml:space="preserve">critical</t>
        </is>
      </c>
      <c r="G100" s="6" t="inlineStr">
        <is>
          <t xml:space="preserve">Not tested</t>
        </is>
      </c>
      <c r="H100" s="3" t="inlineStr">
        <is>
          <t xml:space="preserve">Users needs users.view, and changing anything needs users.manage. Roles and Settings likewise. A member must never be able to widen its own role.</t>
        </is>
      </c>
      <c r="I100" s="6" t="inlineStr">
        <is>
          <t xml:space="preserve">Not tested</t>
        </is>
      </c>
      <c r="J100" s="2"/>
      <c r="K100" s="2"/>
      <c r="L100" s="3"/>
    </row>
    <row r="101" spans="1:12" x14ac:dyDescent="0.3">
      <c r="A101" s="2" t="inlineStr">
        <is>
          <t xml:space="preserve">ADM-03</t>
        </is>
      </c>
      <c r="B101" s="2" t="inlineStr">
        <is>
          <t xml:space="preserve">Company, users and platform</t>
        </is>
      </c>
      <c r="C101" s="2" t="inlineStr">
        <is>
          <t xml:space="preserve">Modules</t>
        </is>
      </c>
      <c r="D101" s="3" t="inlineStr">
        <is>
          <t xml:space="preserve">Settings sweep</t>
        </is>
      </c>
      <c r="E101" s="3" t="inlineStr">
        <is>
          <t xml:space="preserve">Work through every settings tab. Expect: no blank page on any of them.</t>
        </is>
      </c>
      <c r="F101" s="2" t="inlineStr">
        <is>
          <t xml:space="preserve">was broken</t>
        </is>
      </c>
      <c r="G101" s="6" t="inlineStr">
        <is>
          <t xml:space="preserve">Not tested</t>
        </is>
      </c>
      <c r="H101" s="3" t="inlineStr">
        <is>
          <t xml:space="preserve">Users needs users.view, and changing anything needs users.manage. Roles and Settings likewise. A member must never be able to widen its own role.</t>
        </is>
      </c>
      <c r="I101" s="6" t="inlineStr">
        <is>
          <t xml:space="preserve">Not tested</t>
        </is>
      </c>
      <c r="J101" s="2"/>
      <c r="K101" s="2"/>
      <c r="L101" s="3"/>
    </row>
    <row r="102" spans="1:12" ht="28.8" x14ac:dyDescent="0.3">
      <c r="A102" s="2" t="inlineStr">
        <is>
          <t xml:space="preserve">ADM-04</t>
        </is>
      </c>
      <c r="B102" s="2" t="inlineStr">
        <is>
          <t xml:space="preserve">Company, users and platform</t>
        </is>
      </c>
      <c r="C102" s="2" t="inlineStr">
        <is>
          <t xml:space="preserve">Modules</t>
        </is>
      </c>
      <c r="D102" s="3" t="inlineStr">
        <is>
          <t xml:space="preserve">Company switching</t>
        </is>
      </c>
      <c r="E102" s="3" t="inlineStr">
        <is>
          <t xml:space="preserve">Switch between companies. Expect: data changes completely — no records leak between them.</t>
        </is>
      </c>
      <c r="F102" s="2" t="inlineStr">
        <is>
          <t xml:space="preserve">critical</t>
        </is>
      </c>
      <c r="G102" s="6" t="inlineStr">
        <is>
          <t xml:space="preserve">Not tested</t>
        </is>
      </c>
      <c r="H102" s="3" t="inlineStr">
        <is>
          <t xml:space="preserve">Users needs users.view, and changing anything needs users.manage. Roles and Settings likewise. A member must never be able to widen its own role.</t>
        </is>
      </c>
      <c r="I102" s="6" t="inlineStr">
        <is>
          <t xml:space="preserve">Not tested</t>
        </is>
      </c>
      <c r="J102" s="2"/>
      <c r="K102" s="2"/>
      <c r="L102" s="3"/>
    </row>
    <row r="103" spans="1:12" x14ac:dyDescent="0.3">
      <c r="A103" s="2" t="inlineStr">
        <is>
          <t xml:space="preserve">ADM-05</t>
        </is>
      </c>
      <c r="B103" s="2" t="inlineStr">
        <is>
          <t xml:space="preserve">Company, users and platform</t>
        </is>
      </c>
      <c r="C103" s="2" t="inlineStr">
        <is>
          <t xml:space="preserve">Modules</t>
        </is>
      </c>
      <c r="D103" s="3" t="inlineStr">
        <is>
          <t xml:space="preserve">Create a company with a new name</t>
        </is>
      </c>
      <c r="E103" s="3" t="inlineStr">
        <is>
          <t xml:space="preserve">Expect: it is created and you are its owner.</t>
        </is>
      </c>
      <c r="F103" s="2"/>
      <c r="G103" s="6" t="inlineStr">
        <is>
          <t xml:space="preserve">Not tested</t>
        </is>
      </c>
      <c r="H103" s="3" t="inlineStr">
        <is>
          <t xml:space="preserve">Users needs users.view, and changing anything needs users.manage. Roles and Settings likewise. A member must never be able to widen its own role.</t>
        </is>
      </c>
      <c r="I103" s="6" t="inlineStr">
        <is>
          <t xml:space="preserve">Not tested</t>
        </is>
      </c>
      <c r="J103" s="2"/>
      <c r="K103" s="2"/>
      <c r="L103" s="3"/>
    </row>
    <row r="104" spans="1:12" ht="28.8" x14ac:dyDescent="0.3">
      <c r="A104" s="2" t="inlineStr">
        <is>
          <t xml:space="preserve">ADM-06</t>
        </is>
      </c>
      <c r="B104" s="2" t="inlineStr">
        <is>
          <t xml:space="preserve">Company, users and platform</t>
        </is>
      </c>
      <c r="C104" s="2" t="inlineStr">
        <is>
          <t xml:space="preserve">Modules</t>
        </is>
      </c>
      <c r="D104" s="3" t="inlineStr">
        <is>
          <t xml:space="preserve">Create a company with a duplicate name</t>
        </is>
      </c>
      <c r="E104" s="3" t="inlineStr">
        <is>
          <t xml:space="preserve">Expect (today): it saves, giving you two companies with the same name. This is current behaviour, not a bug — flag it if you want it blocked.</t>
        </is>
      </c>
      <c r="F104" s="2"/>
      <c r="G104" s="6" t="inlineStr">
        <is>
          <t xml:space="preserve">Not tested</t>
        </is>
      </c>
      <c r="H104" s="3" t="inlineStr">
        <is>
          <t xml:space="preserve">Users needs users.view, and changing anything needs users.manage. Roles and Settings likewise. A member must never be able to widen its own role.</t>
        </is>
      </c>
      <c r="I104" s="6" t="inlineStr">
        <is>
          <t xml:space="preserve">Not tested</t>
        </is>
      </c>
      <c r="J104" s="2"/>
      <c r="K104" s="2"/>
      <c r="L104" s="3"/>
    </row>
    <row r="105" spans="1:12" ht="28.8" x14ac:dyDescent="0.3">
      <c r="A105" s="2" t="inlineStr">
        <is>
          <t xml:space="preserve">ADM-07</t>
        </is>
      </c>
      <c r="B105" s="2" t="inlineStr">
        <is>
          <t xml:space="preserve">Company, users and platform</t>
        </is>
      </c>
      <c r="C105" s="2" t="inlineStr">
        <is>
          <t xml:space="preserve">Modules</t>
        </is>
      </c>
      <c r="D105" s="3" t="inlineStr">
        <is>
          <t xml:space="preserve">Master panel</t>
        </is>
      </c>
      <c r="E105" s="3" t="inlineStr">
        <is>
          <t xml:space="preserve">As the Lumen master account, open the Master section. Expect: it opens and lists companies.</t>
        </is>
      </c>
      <c r="F105" s="2" t="inlineStr">
        <is>
          <t xml:space="preserve">critical, was broken</t>
        </is>
      </c>
      <c r="G105" s="6" t="inlineStr">
        <is>
          <t xml:space="preserve">Not tested</t>
        </is>
      </c>
      <c r="H105" s="3" t="inlineStr">
        <is>
          <t xml:space="preserve">Users needs users.view, and changing anything needs users.manage. Roles and Settings likewise. A member must never be able to widen its own role.</t>
        </is>
      </c>
      <c r="I105" s="6" t="inlineStr">
        <is>
          <t xml:space="preserve">Not tested</t>
        </is>
      </c>
      <c r="J105" s="2"/>
      <c r="K105" s="2"/>
      <c r="L105" s="3"/>
    </row>
    <row r="106" spans="1:12" x14ac:dyDescent="0.3">
      <c r="A106" s="2" t="inlineStr">
        <is>
          <t xml:space="preserve">ADM-08</t>
        </is>
      </c>
      <c r="B106" s="2" t="inlineStr">
        <is>
          <t xml:space="preserve">Company, users and platform</t>
        </is>
      </c>
      <c r="C106" s="2" t="inlineStr">
        <is>
          <t xml:space="preserve">Modules</t>
        </is>
      </c>
      <c r="D106" s="3" t="inlineStr">
        <is>
          <t xml:space="preserve">Profile and avatar</t>
        </is>
      </c>
      <c r="E106" s="3" t="inlineStr">
        <is>
          <t xml:space="preserve">Change your name, upload and crop an avatar.</t>
        </is>
      </c>
      <c r="F106" s="2"/>
      <c r="G106" s="6" t="inlineStr">
        <is>
          <t xml:space="preserve">Not tested</t>
        </is>
      </c>
      <c r="H106" s="3" t="inlineStr">
        <is>
          <t xml:space="preserve">Users needs users.view, and changing anything needs users.manage. Roles and Settings likewise. A member must never be able to widen its own role.</t>
        </is>
      </c>
      <c r="I106" s="6" t="inlineStr">
        <is>
          <t xml:space="preserve">Not tested</t>
        </is>
      </c>
      <c r="J106" s="2"/>
      <c r="K106" s="2"/>
      <c r="L106" s="3"/>
    </row>
    <row r="107" spans="1:12" x14ac:dyDescent="0.3">
      <c r="A107" s="2" t="inlineStr">
        <is>
          <t xml:space="preserve">ADM-09</t>
        </is>
      </c>
      <c r="B107" s="2" t="inlineStr">
        <is>
          <t xml:space="preserve">Company, users and platform</t>
        </is>
      </c>
      <c r="C107" s="2" t="inlineStr">
        <is>
          <t xml:space="preserve">Modules</t>
        </is>
      </c>
      <c r="D107" s="3" t="inlineStr">
        <is>
          <t xml:space="preserve">Sign out and back in</t>
        </is>
      </c>
      <c r="E107" s="3" t="inlineStr">
        <is>
          <t xml:space="preserve">Expect: you land where you should, with your company and workspace intact.</t>
        </is>
      </c>
      <c r="F107" s="2"/>
      <c r="G107" s="6" t="inlineStr">
        <is>
          <t xml:space="preserve">Not tested</t>
        </is>
      </c>
      <c r="H107" s="3" t="inlineStr">
        <is>
          <t xml:space="preserve">Users needs users.view, and changing anything needs users.manage. Roles and Settings likewise. A member must never be able to widen its own role.</t>
        </is>
      </c>
      <c r="I107" s="6" t="inlineStr">
        <is>
          <t xml:space="preserve">Not tested</t>
        </is>
      </c>
      <c r="J107" s="2"/>
      <c r="K107" s="2"/>
      <c r="L107" s="3"/>
    </row>
    <row r="108" spans="1:12" ht="28.8" x14ac:dyDescent="0.3">
      <c r="A108" s="2" t="inlineStr">
        <is>
          <t xml:space="preserve">X-01</t>
        </is>
      </c>
      <c r="B108" s="2" t="inlineStr">
        <is>
          <t xml:space="preserve">Cross-cutting</t>
        </is>
      </c>
      <c r="C108" s="2" t="inlineStr">
        <is>
          <t xml:space="preserve">P1</t>
        </is>
      </c>
      <c r="D108" s="3" t="inlineStr">
        <is>
          <t xml:space="preserve">Workspace scoping</t>
        </is>
      </c>
      <c r="E108" s="3" t="inlineStr">
        <is>
          <t xml:space="preserve">Switch workspace and check contacts, jobs, quotes, tasks and files. Expect: each shows only that workspace's records.</t>
        </is>
      </c>
      <c r="F108" s="2" t="inlineStr">
        <is>
          <t xml:space="preserve">critical</t>
        </is>
      </c>
      <c r="G108" s="6" t="inlineStr">
        <is>
          <t xml:space="preserve">Not tested</t>
        </is>
      </c>
      <c r="H108" s="3" t="inlineStr">
        <is>
          <t xml:space="preserve">Same behaviour, within what the role can reach. Nothing may leak a record, file or name from a module the role cannot view.</t>
        </is>
      </c>
      <c r="I108" s="6" t="inlineStr">
        <is>
          <t xml:space="preserve">Not tested</t>
        </is>
      </c>
      <c r="J108" s="2"/>
      <c r="K108" s="2"/>
      <c r="L108" s="3"/>
    </row>
    <row r="109" spans="1:12" ht="28.8" x14ac:dyDescent="0.3">
      <c r="A109" s="2" t="inlineStr">
        <is>
          <t xml:space="preserve">X-02</t>
        </is>
      </c>
      <c r="B109" s="2" t="inlineStr">
        <is>
          <t xml:space="preserve">Cross-cutting</t>
        </is>
      </c>
      <c r="C109" s="2" t="inlineStr">
        <is>
          <t xml:space="preserve">P1</t>
        </is>
      </c>
      <c r="D109" s="3" t="inlineStr">
        <is>
          <t xml:space="preserve">Narrow window</t>
        </is>
      </c>
      <c r="E109" s="3" t="inlineStr">
        <is>
          <t xml:space="preserve">Resize to roughly half width and re-walk the dashboard, jobs and workspaces. Expect: nothing clipped, no sideways page scroll, still one scrollbar.</t>
        </is>
      </c>
      <c r="F109" s="2"/>
      <c r="G109" s="6" t="inlineStr">
        <is>
          <t xml:space="preserve">Not tested</t>
        </is>
      </c>
      <c r="H109" s="3" t="inlineStr">
        <is>
          <t xml:space="preserve">Same behaviour, within what the role can reach. Nothing may leak a record, file or name from a module the role cannot view.</t>
        </is>
      </c>
      <c r="I109" s="6" t="inlineStr">
        <is>
          <t xml:space="preserve">Not tested</t>
        </is>
      </c>
      <c r="J109" s="2"/>
      <c r="K109" s="2"/>
      <c r="L109" s="3"/>
    </row>
    <row r="110" spans="1:12" ht="28.8" x14ac:dyDescent="0.3">
      <c r="A110" s="2" t="inlineStr">
        <is>
          <t xml:space="preserve">X-03</t>
        </is>
      </c>
      <c r="B110" s="2" t="inlineStr">
        <is>
          <t xml:space="preserve">Cross-cutting</t>
        </is>
      </c>
      <c r="C110" s="2" t="inlineStr">
        <is>
          <t xml:space="preserve">P1</t>
        </is>
      </c>
      <c r="D110" s="3" t="inlineStr">
        <is>
          <t xml:space="preserve">Phone width</t>
        </is>
      </c>
      <c r="E110" s="3" t="inlineStr">
        <is>
          <t xml:space="preserve">Open on a phone or a 400px window. Expect: the mobile nav works and content is reachable.</t>
        </is>
      </c>
      <c r="F110" s="2"/>
      <c r="G110" s="6" t="inlineStr">
        <is>
          <t xml:space="preserve">Not tested</t>
        </is>
      </c>
      <c r="H110" s="3" t="inlineStr">
        <is>
          <t xml:space="preserve">Same behaviour, within what the role can reach. Nothing may leak a record, file or name from a module the role cannot view.</t>
        </is>
      </c>
      <c r="I110" s="6" t="inlineStr">
        <is>
          <t xml:space="preserve">Not tested</t>
        </is>
      </c>
      <c r="J110" s="2"/>
      <c r="K110" s="2"/>
      <c r="L110" s="3"/>
    </row>
    <row r="111" spans="1:12" ht="28.8" x14ac:dyDescent="0.3">
      <c r="A111" s="2" t="inlineStr">
        <is>
          <t xml:space="preserve">X-04</t>
        </is>
      </c>
      <c r="B111" s="2" t="inlineStr">
        <is>
          <t xml:space="preserve">Cross-cutting</t>
        </is>
      </c>
      <c r="C111" s="2" t="inlineStr">
        <is>
          <t xml:space="preserve">P1</t>
        </is>
      </c>
      <c r="D111" s="3" t="inlineStr">
        <is>
          <t xml:space="preserve">Escape closes dialogs</t>
        </is>
      </c>
      <c r="E111" s="3" t="inlineStr">
        <is>
          <t xml:space="preserve">Open any dialog and press Escape. Expect: it closes and focus returns to the button that opened it.</t>
        </is>
      </c>
      <c r="F111" s="2"/>
      <c r="G111" s="6" t="inlineStr">
        <is>
          <t xml:space="preserve">Not tested</t>
        </is>
      </c>
      <c r="H111" s="3" t="inlineStr">
        <is>
          <t xml:space="preserve">Same behaviour, within what the role can reach. Nothing may leak a record, file or name from a module the role cannot view.</t>
        </is>
      </c>
      <c r="I111" s="6" t="inlineStr">
        <is>
          <t xml:space="preserve">Not tested</t>
        </is>
      </c>
      <c r="J111" s="2"/>
      <c r="K111" s="2"/>
      <c r="L111" s="3"/>
    </row>
    <row r="112" spans="1:12" x14ac:dyDescent="0.3">
      <c r="A112" s="2" t="inlineStr">
        <is>
          <t xml:space="preserve">X-05</t>
        </is>
      </c>
      <c r="B112" s="2" t="inlineStr">
        <is>
          <t xml:space="preserve">Cross-cutting</t>
        </is>
      </c>
      <c r="C112" s="2" t="inlineStr">
        <is>
          <t xml:space="preserve">P1</t>
        </is>
      </c>
      <c r="D112" s="3" t="inlineStr">
        <is>
          <t xml:space="preserve">Tab stays inside a dialog</t>
        </is>
      </c>
      <c r="E112" s="3" t="inlineStr">
        <is>
          <t xml:space="preserve">Open a dialog and hold Tab. Expect: focus cycles inside it, never onto the page behind.</t>
        </is>
      </c>
      <c r="F112" s="2"/>
      <c r="G112" s="6" t="inlineStr">
        <is>
          <t xml:space="preserve">Not tested</t>
        </is>
      </c>
      <c r="H112" s="3" t="inlineStr">
        <is>
          <t xml:space="preserve">Same behaviour, within what the role can reach. Nothing may leak a record, file or name from a module the role cannot view.</t>
        </is>
      </c>
      <c r="I112" s="6" t="inlineStr">
        <is>
          <t xml:space="preserve">Not tested</t>
        </is>
      </c>
      <c r="J112" s="2"/>
      <c r="K112" s="2"/>
      <c r="L112" s="3"/>
    </row>
    <row r="113" spans="1:12" x14ac:dyDescent="0.3">
      <c r="A113" s="2" t="inlineStr">
        <is>
          <t xml:space="preserve">X-06</t>
        </is>
      </c>
      <c r="B113" s="2" t="inlineStr">
        <is>
          <t xml:space="preserve">Cross-cutting</t>
        </is>
      </c>
      <c r="C113" s="2" t="inlineStr">
        <is>
          <t xml:space="preserve">P1</t>
        </is>
      </c>
      <c r="D113" s="3" t="inlineStr">
        <is>
          <t xml:space="preserve">Refresh mid-flow</t>
        </is>
      </c>
      <c r="E113" s="3" t="inlineStr">
        <is>
          <t xml:space="preserve">Reload the page on several routes. Expect: you land back on the same route, signed in.</t>
        </is>
      </c>
      <c r="F113" s="2"/>
      <c r="G113" s="6" t="inlineStr">
        <is>
          <t xml:space="preserve">Not tested</t>
        </is>
      </c>
      <c r="H113" s="3" t="inlineStr">
        <is>
          <t xml:space="preserve">Same behaviour, within what the role can reach. Nothing may leak a record, file or name from a module the role cannot view.</t>
        </is>
      </c>
      <c r="I113" s="6" t="inlineStr">
        <is>
          <t xml:space="preserve">Not tested</t>
        </is>
      </c>
      <c r="J113" s="2"/>
      <c r="K113" s="2"/>
      <c r="L113" s="3"/>
    </row>
    <row r="114" spans="1:12" ht="28.8" x14ac:dyDescent="0.3">
      <c r="A114" s="2" t="inlineStr">
        <is>
          <t xml:space="preserve">X-07</t>
        </is>
      </c>
      <c r="B114" s="2" t="inlineStr">
        <is>
          <t xml:space="preserve">Cross-cutting</t>
        </is>
      </c>
      <c r="C114" s="2" t="inlineStr">
        <is>
          <t xml:space="preserve">P1</t>
        </is>
      </c>
      <c r="D114" s="3" t="inlineStr">
        <is>
          <t xml:space="preserve">Unsaved-draft recovery</t>
        </is>
      </c>
      <c r="E114" s="3" t="inlineStr">
        <is>
          <t xml:space="preserve">Start a job or contact, leave without saving, come back. Expect: Restore or Discard is offered, and Restore returns the exact values.</t>
        </is>
      </c>
      <c r="F114" s="2"/>
      <c r="G114" s="6" t="inlineStr">
        <is>
          <t xml:space="preserve">Not tested</t>
        </is>
      </c>
      <c r="H114" s="3" t="inlineStr">
        <is>
          <t xml:space="preserve">Same behaviour, within what the role can reach. Nothing may leak a record, file or name from a module the role cannot view.</t>
        </is>
      </c>
      <c r="I114" s="6" t="inlineStr">
        <is>
          <t xml:space="preserve">Not tested</t>
        </is>
      </c>
      <c r="J114" s="2"/>
      <c r="K114" s="2"/>
      <c r="L114" s="3"/>
    </row>
    <row r="115" spans="1:12" ht="28.8" x14ac:dyDescent="0.3">
      <c r="A115" s="2" t="inlineStr">
        <is>
          <t xml:space="preserve">X-08</t>
        </is>
      </c>
      <c r="B115" s="2" t="inlineStr">
        <is>
          <t xml:space="preserve">Cross-cutting</t>
        </is>
      </c>
      <c r="C115" s="2" t="inlineStr">
        <is>
          <t xml:space="preserve">P1</t>
        </is>
      </c>
      <c r="D115" s="3" t="inlineStr">
        <is>
          <t xml:space="preserve">Console is clean at the end</t>
        </is>
      </c>
      <c r="E115" s="3" t="inlineStr">
        <is>
          <t xml:space="preserve">After the whole sweep. Expect: no red errors. Note any that appeared and what you were doing.</t>
        </is>
      </c>
      <c r="F115" s="2" t="inlineStr">
        <is>
          <t xml:space="preserve">critical</t>
        </is>
      </c>
      <c r="G115" s="6" t="inlineStr">
        <is>
          <t xml:space="preserve">Not tested</t>
        </is>
      </c>
      <c r="H115" s="3" t="inlineStr">
        <is>
          <t xml:space="preserve">Same behaviour, within what the role can reach. Nothing may leak a record, file or name from a module the role cannot view.</t>
        </is>
      </c>
      <c r="I115" s="6" t="inlineStr">
        <is>
          <t xml:space="preserve">Not tested</t>
        </is>
      </c>
      <c r="J115" s="2"/>
      <c r="K115" s="2"/>
      <c r="L115" s="3"/>
    </row>
    <row r="116" spans="1:12" x14ac:dyDescent="0.3">
      <c r="A116" s="4" t="inlineStr">
        <is>
          <t xml:space="preserve">KNOWN-01</t>
        </is>
      </c>
      <c r="B116" s="4" t="inlineStr">
        <is>
          <t xml:space="preserve">Known issues — do not report these</t>
        </is>
      </c>
      <c r="C116" s="4" t="inlineStr">
        <is>
          <t xml:space="preserve">Info</t>
        </is>
      </c>
      <c r="D116" s="5" t="inlineStr">
        <is>
          <t xml:space="preserve">Tickets and Templates do nothing</t>
        </is>
      </c>
      <c r="E116" s="5" t="inlineStr">
        <is>
          <t xml:space="preserve">They are future navigation entries, deliberately not implemented.</t>
        </is>
      </c>
      <c r="F116" s="4"/>
      <c r="G116" s="6" t="inlineStr">
        <is>
          <t xml:space="preserve">N/A</t>
        </is>
      </c>
      <c r="H116" s="5" t="inlineStr">
        <is>
          <t xml:space="preserve">Same — still not a defect on either account.</t>
        </is>
      </c>
      <c r="I116" s="6" t="inlineStr">
        <is>
          <t xml:space="preserve">Not tested</t>
        </is>
      </c>
      <c r="J116" s="2"/>
      <c r="K116" s="2"/>
      <c r="L116" s="5"/>
    </row>
    <row r="117" spans="1:12" x14ac:dyDescent="0.3">
      <c r="A117" s="4" t="inlineStr">
        <is>
          <t xml:space="preserve">KNOWN-02</t>
        </is>
      </c>
      <c r="B117" s="4" t="inlineStr">
        <is>
          <t xml:space="preserve">Known issues — do not report these</t>
        </is>
      </c>
      <c r="C117" s="4" t="inlineStr">
        <is>
          <t xml:space="preserve">Info</t>
        </is>
      </c>
      <c r="D117" s="5" t="inlineStr">
        <is>
          <t xml:space="preserve">Workspace SMS is switched off</t>
        </is>
      </c>
      <c r="E117" s="5" t="inlineStr">
        <is>
          <t xml:space="preserve">Intentionally disabled until the routing model is made workspace-safe.</t>
        </is>
      </c>
      <c r="F117" s="4"/>
      <c r="G117" s="6" t="inlineStr">
        <is>
          <t xml:space="preserve">N/A</t>
        </is>
      </c>
      <c r="H117" s="5" t="inlineStr">
        <is>
          <t xml:space="preserve">Same — still not a defect on either account.</t>
        </is>
      </c>
      <c r="I117" s="6" t="inlineStr">
        <is>
          <t xml:space="preserve">Not tested</t>
        </is>
      </c>
      <c r="J117" s="2"/>
      <c r="K117" s="2"/>
      <c r="L117" s="5"/>
    </row>
    <row r="118" spans="1:12" x14ac:dyDescent="0.3">
      <c r="A118" s="4" t="inlineStr">
        <is>
          <t xml:space="preserve">KNOWN-03</t>
        </is>
      </c>
      <c r="B118" s="4" t="inlineStr">
        <is>
          <t xml:space="preserve">Known issues — do not report these</t>
        </is>
      </c>
      <c r="C118" s="4" t="inlineStr">
        <is>
          <t xml:space="preserve">Info</t>
        </is>
      </c>
      <c r="D118" s="5" t="inlineStr">
        <is>
          <t xml:space="preserve">Vite warns about a large bundle at build time</t>
        </is>
      </c>
      <c r="E118" s="5" t="inlineStr">
        <is>
          <t xml:space="preserve">Known and budgeted. The bundle-budget gate is what matters, and it passes.</t>
        </is>
      </c>
      <c r="F118" s="4"/>
      <c r="G118" s="6" t="inlineStr">
        <is>
          <t xml:space="preserve">N/A</t>
        </is>
      </c>
      <c r="H118" s="5" t="inlineStr">
        <is>
          <t xml:space="preserve">Same — still not a defect on either account.</t>
        </is>
      </c>
      <c r="I118" s="6" t="inlineStr">
        <is>
          <t xml:space="preserve">Not tested</t>
        </is>
      </c>
      <c r="J118" s="2"/>
      <c r="K118" s="2"/>
      <c r="L118" s="5"/>
    </row>
    <row r="119" spans="1:12" x14ac:dyDescent="0.3">
      <c r="A119" s="4" t="inlineStr">
        <is>
          <t xml:space="preserve">KNOWN-04</t>
        </is>
      </c>
      <c r="B119" s="4" t="inlineStr">
        <is>
          <t xml:space="preserve">Known issues — do not report these</t>
        </is>
      </c>
      <c r="C119" s="4" t="inlineStr">
        <is>
          <t xml:space="preserve">Info</t>
        </is>
      </c>
      <c r="D119" s="5" t="inlineStr">
        <is>
          <t xml:space="preserve">Preview deployments use a different database</t>
        </is>
      </c>
      <c r="E119" s="5" t="inlineStr">
        <is>
          <t xml:space="preserve">A preview URL proves the build, not the workspace or task flows. Test on production.</t>
        </is>
      </c>
      <c r="F119" s="4"/>
      <c r="G119" s="6" t="inlineStr">
        <is>
          <t xml:space="preserve">N/A</t>
        </is>
      </c>
      <c r="H119" s="5" t="inlineStr">
        <is>
          <t xml:space="preserve">Same — still not a defect on either account.</t>
        </is>
      </c>
      <c r="I119" s="6" t="inlineStr">
        <is>
          <t xml:space="preserve">Not tested</t>
        </is>
      </c>
      <c r="J119" s="2"/>
      <c r="K119" s="2"/>
      <c r="L119" s="5"/>
    </row>
    <row r="120" spans="1:12" ht="28.8" x14ac:dyDescent="0.3">
      <c r="A120" s="4" t="inlineStr">
        <is>
          <t xml:space="preserve">KNOWN-05</t>
        </is>
      </c>
      <c r="B120" s="4" t="inlineStr">
        <is>
          <t xml:space="preserve">Known issues — do not report these</t>
        </is>
      </c>
      <c r="C120" s="4" t="inlineStr">
        <is>
          <t xml:space="preserve">Info</t>
        </is>
      </c>
      <c r="D120" s="5" t="inlineStr">
        <is>
          <t xml:space="preserve">A second scrollbar, if you still see one</t>
        </is>
      </c>
      <c r="E120" s="5" t="inlineStr">
        <is>
          <t xml:space="preserve">Add ?diag=layout to the URL and screenshot the readout instead of reporting it plainly — the readout names the element.</t>
        </is>
      </c>
      <c r="F120" s="4"/>
      <c r="G120" s="6" t="inlineStr">
        <is>
          <t xml:space="preserve">N/A</t>
        </is>
      </c>
      <c r="H120" s="5" t="inlineStr">
        <is>
          <t xml:space="preserve">Same — still not a defect on either account.</t>
        </is>
      </c>
      <c r="I120" s="6" t="inlineStr">
        <is>
          <t xml:space="preserve">Not tested</t>
        </is>
      </c>
      <c r="J120" s="2"/>
      <c r="K120" s="2"/>
      <c r="L120" s="5"/>
    </row>
    <row r="121" spans="1:12" ht="42" x14ac:dyDescent="0.3">
      <c r="A121" s="2" t="inlineStr">
        <is>
          <t xml:space="preserve">ROLE-01</t>
        </is>
      </c>
      <c r="B121" s="2" t="inlineStr">
        <is>
          <t xml:space="preserve">Roles and accounts</t>
        </is>
      </c>
      <c r="C121" s="2" t="inlineStr">
        <is>
          <t xml:space="preserve">Start</t>
        </is>
      </c>
      <c r="D121" s="3" t="inlineStr">
        <is>
          <t xml:space="preserve">Owner account signed in</t>
        </is>
      </c>
      <c r="E121" s="3" t="inlineStr">
        <is>
          <t xml:space="preserve">Sign in as the company Owner. Settings &gt; Users shows your role as Owner.</t>
        </is>
      </c>
      <c r="F121" s="2"/>
      <c r="G121" s="6" t="inlineStr">
        <is>
          <t xml:space="preserve">Not tested</t>
        </is>
      </c>
      <c r="H121" s="3" t="inlineStr">
        <is>
          <t xml:space="preserve">n/a — this row is about the Owner account.</t>
        </is>
      </c>
      <c r="I121" s="6" t="inlineStr">
        <is>
          <t xml:space="preserve">Not tested</t>
        </is>
      </c>
      <c r="J121" s="2"/>
      <c r="K121" s="2"/>
      <c r="L121" s="3" t="inlineStr">
        <is>
          <t xml:space="preserve">As Owner: Owner is the only system role and holds the wildcard "*". Every gate passes — which is exactly why gates cannot be proved from this account.</t>
        </is>
      </c>
    </row>
    <row r="122" spans="1:12" ht="42" x14ac:dyDescent="0.3">
      <c r="A122" s="2" t="inlineStr">
        <is>
          <t xml:space="preserve">ROLE-02</t>
        </is>
      </c>
      <c r="B122" s="2" t="inlineStr">
        <is>
          <t xml:space="preserve">Roles and accounts</t>
        </is>
      </c>
      <c r="C122" s="2" t="inlineStr">
        <is>
          <t xml:space="preserve">Start</t>
        </is>
      </c>
      <c r="D122" s="3" t="inlineStr">
        <is>
          <t xml:space="preserve">Member account signed in, separately</t>
        </is>
      </c>
      <c r="E122" s="3" t="inlineStr">
        <is>
          <t xml:space="preserve">A second real account in the SAME company on a custom role. Use a second browser profile or a private window so both sessions stay live at once.</t>
        </is>
      </c>
      <c r="F122" s="2"/>
      <c r="G122" s="6" t="inlineStr">
        <is>
          <t xml:space="preserve">Not tested</t>
        </is>
      </c>
      <c r="H122" s="3" t="inlineStr">
        <is>
          <t xml:space="preserve">Signed in and staying signed in alongside the Owner session. Do not test by switching the Owner’s role — that is not the same thing.</t>
        </is>
      </c>
      <c r="I122" s="6" t="inlineStr">
        <is>
          <t xml:space="preserve">Not tested</t>
        </is>
      </c>
      <c r="J122" s="2"/>
      <c r="K122" s="2"/>
      <c r="L122" s="3"/>
    </row>
    <row r="123" spans="1:12" ht="42" x14ac:dyDescent="0.3">
      <c r="A123" s="2" t="inlineStr">
        <is>
          <t xml:space="preserve">ROLE-03</t>
        </is>
      </c>
      <c r="B123" s="2" t="inlineStr">
        <is>
          <t xml:space="preserve">Roles and accounts</t>
        </is>
      </c>
      <c r="C123" s="2" t="inlineStr">
        <is>
          <t xml:space="preserve">Start</t>
        </is>
      </c>
      <c r="D123" s="3" t="inlineStr">
        <is>
          <t xml:space="preserve">Write down the role under test</t>
        </is>
      </c>
      <c r="E123" s="3" t="inlineStr">
        <is>
          <t xml:space="preserve">Settings &gt; Roles &gt; open the role the member is on. Copy its permission list into Notes on this row.</t>
        </is>
      </c>
      <c r="F123" s="2"/>
      <c r="G123" s="6" t="inlineStr">
        <is>
          <t xml:space="preserve">Not tested</t>
        </is>
      </c>
      <c r="H123" s="3" t="inlineStr">
        <is>
          <t xml:space="preserve">Every member expectation below is judged against THAT list. Without it you are guessing.</t>
        </is>
      </c>
      <c r="I123" s="6" t="inlineStr">
        <is>
          <t xml:space="preserve">Not tested</t>
        </is>
      </c>
      <c r="J123" s="2"/>
      <c r="K123" s="2"/>
      <c r="L123" s="3" t="inlineStr">
        <is>
          <t xml:space="preserve">As Owner: You need Owner access to read it.</t>
        </is>
      </c>
    </row>
    <row r="124" spans="1:12" ht="42" x14ac:dyDescent="0.3">
      <c r="A124" s="2" t="inlineStr">
        <is>
          <t xml:space="preserve">ROLE-04</t>
        </is>
      </c>
      <c r="B124" s="2" t="inlineStr">
        <is>
          <t xml:space="preserve">Roles and accounts</t>
        </is>
      </c>
      <c r="C124" s="2" t="inlineStr">
        <is>
          <t xml:space="preserve">P0</t>
        </is>
      </c>
      <c r="D124" s="3" t="inlineStr">
        <is>
          <t xml:space="preserve">Every module in the sidebar</t>
        </is>
      </c>
      <c r="E124" s="3" t="inlineStr">
        <is>
          <t xml:space="preserve">Compare the two sidebars side by side.</t>
        </is>
      </c>
      <c r="F124" s="2" t="inlineStr">
        <is>
          <t xml:space="preserve">critical</t>
        </is>
      </c>
      <c r="G124" s="6" t="inlineStr">
        <is>
          <t xml:space="preserve">Not tested</t>
        </is>
      </c>
      <c r="H124" s="3" t="inlineStr">
        <is>
          <t xml:space="preserve">Only modules matching a .view the role holds. A module it cannot view is NOT LISTED — not listed and empty.</t>
        </is>
      </c>
      <c r="I124" s="6" t="inlineStr">
        <is>
          <t xml:space="preserve">Not tested</t>
        </is>
      </c>
      <c r="J124" s="2"/>
      <c r="K124" s="2"/>
      <c r="L124" s="3" t="inlineStr">
        <is>
          <t xml:space="preserve">As Owner: Every live module is listed. Nothing hidden, nothing saying "no access".</t>
        </is>
      </c>
    </row>
    <row r="125" spans="1:12" ht="42" x14ac:dyDescent="0.3">
      <c r="A125" s="2" t="inlineStr">
        <is>
          <t xml:space="preserve">ROLE-05</t>
        </is>
      </c>
      <c r="B125" s="2" t="inlineStr">
        <is>
          <t xml:space="preserve">Roles and accounts</t>
        </is>
      </c>
      <c r="C125" s="2" t="inlineStr">
        <is>
          <t xml:space="preserve">P0</t>
        </is>
      </c>
      <c r="D125" s="3" t="inlineStr">
        <is>
          <t xml:space="preserve">A typed URL for a hidden module</t>
        </is>
      </c>
      <c r="E125" s="3" t="inlineStr">
        <is>
          <t xml:space="preserve">Copy a module URL from the Owner window and paste it into the member window.</t>
        </is>
      </c>
      <c r="F125" s="2" t="inlineStr">
        <is>
          <t xml:space="preserve">critical</t>
        </is>
      </c>
      <c r="G125" s="6" t="inlineStr">
        <is>
          <t xml:space="preserve">Not tested</t>
        </is>
      </c>
      <c r="H125" s="3" t="inlineStr">
        <is>
          <t xml:space="preserve">Refused or redirected. Being shown the page with no data in it is a FAIL — the menu is not the security boundary.</t>
        </is>
      </c>
      <c r="I125" s="6" t="inlineStr">
        <is>
          <t xml:space="preserve">Not tested</t>
        </is>
      </c>
      <c r="J125" s="2"/>
      <c r="K125" s="2"/>
      <c r="L125" s="3" t="inlineStr">
        <is>
          <t xml:space="preserve">As Owner: Opens normally.</t>
        </is>
      </c>
    </row>
    <row r="126" spans="1:12" ht="42" x14ac:dyDescent="0.3">
      <c r="A126" s="2" t="inlineStr">
        <is>
          <t xml:space="preserve">ROLE-06</t>
        </is>
      </c>
      <c r="B126" s="2" t="inlineStr">
        <is>
          <t xml:space="preserve">Roles and accounts</t>
        </is>
      </c>
      <c r="C126" s="2" t="inlineStr">
        <is>
          <t xml:space="preserve">P0</t>
        </is>
      </c>
      <c r="D126" s="3" t="inlineStr">
        <is>
          <t xml:space="preserve">Read-only really is read-only</t>
        </is>
      </c>
      <c r="E126" s="3" t="inlineStr">
        <is>
          <t xml:space="preserve">Pick a module the role can view but not manage. Look for Add, Edit, Delete, drag handles, Customize.</t>
        </is>
      </c>
      <c r="F126" s="2" t="inlineStr">
        <is>
          <t xml:space="preserve">critical</t>
        </is>
      </c>
      <c r="G126" s="6" t="inlineStr">
        <is>
          <t xml:space="preserve">Not tested</t>
        </is>
      </c>
      <c r="H126" s="3" t="inlineStr">
        <is>
          <t xml:space="preserve">All ABSENT. A control you can press that then refuses is a defect, not a gate.</t>
        </is>
      </c>
      <c r="I126" s="6" t="inlineStr">
        <is>
          <t xml:space="preserve">Not tested</t>
        </is>
      </c>
      <c r="J126" s="2"/>
      <c r="K126" s="2"/>
      <c r="L126" s="3" t="inlineStr">
        <is>
          <t xml:space="preserve">As Owner: All present and working.</t>
        </is>
      </c>
    </row>
    <row r="127" spans="1:12" ht="42" x14ac:dyDescent="0.3">
      <c r="A127" s="2" t="inlineStr">
        <is>
          <t xml:space="preserve">ROLE-07</t>
        </is>
      </c>
      <c r="B127" s="2" t="inlineStr">
        <is>
          <t xml:space="preserve">Roles and accounts</t>
        </is>
      </c>
      <c r="C127" s="2" t="inlineStr">
        <is>
          <t xml:space="preserve">P1</t>
        </is>
      </c>
      <c r="D127" s="3" t="inlineStr">
        <is>
          <t xml:space="preserve">A refused action explains itself</t>
        </is>
      </c>
      <c r="E127" s="3" t="inlineStr">
        <is>
          <t xml:space="preserve">Trigger anything the role cannot do.</t>
        </is>
      </c>
      <c r="F127" s="2"/>
      <c r="G127" s="6" t="inlineStr">
        <is>
          <t xml:space="preserve">Not tested</t>
        </is>
      </c>
      <c r="H127" s="3" t="inlineStr">
        <is>
          <t xml:space="preserve">A clear message ("Your role cannot…"). Never a silent no-op and never a console error.</t>
        </is>
      </c>
      <c r="I127" s="6" t="inlineStr">
        <is>
          <t xml:space="preserve">Not tested</t>
        </is>
      </c>
      <c r="J127" s="2"/>
      <c r="K127" s="2"/>
      <c r="L127" s="3" t="inlineStr">
        <is>
          <t xml:space="preserve">As Owner: n/a — nothing is refused.</t>
        </is>
      </c>
    </row>
    <row r="128" spans="1:12" ht="42" x14ac:dyDescent="0.3">
      <c r="A128" s="2" t="inlineStr">
        <is>
          <t xml:space="preserve">ROLE-08</t>
        </is>
      </c>
      <c r="B128" s="2" t="inlineStr">
        <is>
          <t xml:space="preserve">Roles and accounts</t>
        </is>
      </c>
      <c r="C128" s="2" t="inlineStr">
        <is>
          <t xml:space="preserve">P0</t>
        </is>
      </c>
      <c r="D128" s="3" t="inlineStr">
        <is>
          <t xml:space="preserve">Jobs</t>
        </is>
      </c>
      <c r="E128" s="3" t="inlineStr">
        <is>
          <t xml:space="preserve">Open Jobs, then a job file.</t>
        </is>
      </c>
      <c r="F128" s="2" t="inlineStr">
        <is>
          <t xml:space="preserve">critical</t>
        </is>
      </c>
      <c r="G128" s="6" t="inlineStr">
        <is>
          <t xml:space="preserve">Not tested</t>
        </is>
      </c>
      <c r="H128" s="3" t="inlineStr">
        <is>
          <t xml:space="preserve">Opens with jobs.view. Without jobs.manage: no Add job, no Edit job, no Quick create rail, and needs-attention items cannot be ticked.</t>
        </is>
      </c>
      <c r="I128" s="6" t="inlineStr">
        <is>
          <t xml:space="preserve">Not tested</t>
        </is>
      </c>
      <c r="J128" s="2"/>
      <c r="K128" s="2"/>
      <c r="L128" s="3" t="inlineStr">
        <is>
          <t xml:space="preserve">As Owner: List and file open. Add job, Edit job and the whole Quick create rail are available.</t>
        </is>
      </c>
    </row>
    <row r="129" spans="1:12" ht="42" x14ac:dyDescent="0.3">
      <c r="A129" s="2" t="inlineStr">
        <is>
          <t xml:space="preserve">ROLE-09</t>
        </is>
      </c>
      <c r="B129" s="2" t="inlineStr">
        <is>
          <t xml:space="preserve">Roles and accounts</t>
        </is>
      </c>
      <c r="C129" s="2" t="inlineStr">
        <is>
          <t xml:space="preserve">P1</t>
        </is>
      </c>
      <c r="D129" s="3" t="inlineStr">
        <is>
          <t xml:space="preserve">Jobs — records</t>
        </is>
      </c>
      <c r="E129" s="3" t="inlineStr">
        <is>
          <t xml:space="preserve">Try Daily report, Change order, Cost bucket, Draw, Expense, Job walk.</t>
        </is>
      </c>
      <c r="F129" s="2"/>
      <c r="G129" s="6" t="inlineStr">
        <is>
          <t xml:space="preserve">Not tested</t>
        </is>
      </c>
      <c r="H129" s="3" t="inlineStr">
        <is>
          <t xml:space="preserve">All six unavailable without jobs.manage.</t>
        </is>
      </c>
      <c r="I129" s="6" t="inlineStr">
        <is>
          <t xml:space="preserve">Not tested</t>
        </is>
      </c>
      <c r="J129" s="2"/>
      <c r="K129" s="2"/>
      <c r="L129" s="3" t="inlineStr">
        <is>
          <t xml:space="preserve">As Owner: All six available.</t>
        </is>
      </c>
    </row>
    <row r="130" spans="1:12" ht="42" x14ac:dyDescent="0.3">
      <c r="A130" s="2" t="inlineStr">
        <is>
          <t xml:space="preserve">ROLE-10</t>
        </is>
      </c>
      <c r="B130" s="2" t="inlineStr">
        <is>
          <t xml:space="preserve">Roles and accounts</t>
        </is>
      </c>
      <c r="C130" s="2" t="inlineStr">
        <is>
          <t xml:space="preserve">P0</t>
        </is>
      </c>
      <c r="D130" s="3" t="inlineStr">
        <is>
          <t xml:space="preserve">Workspaces / App Builder</t>
        </is>
      </c>
      <c r="E130" s="3" t="inlineStr">
        <is>
          <t xml:space="preserve">Open an app, then a record.</t>
        </is>
      </c>
      <c r="F130" s="2" t="inlineStr">
        <is>
          <t xml:space="preserve">critical</t>
        </is>
      </c>
      <c r="G130" s="6" t="inlineStr">
        <is>
          <t xml:space="preserve">Not tested</t>
        </is>
      </c>
      <c r="H130" s="3" t="inlineStr">
        <is>
          <t xml:space="preserve">Records readable with workspaces.view. Without .manage: no Customize, no Add card, no Add app, no field builder, no Settings tab.</t>
        </is>
      </c>
      <c r="I130" s="6" t="inlineStr">
        <is>
          <t xml:space="preserve">Not tested</t>
        </is>
      </c>
      <c r="J130" s="2"/>
      <c r="K130" s="2"/>
      <c r="L130" s="3" t="inlineStr">
        <is>
          <t xml:space="preserve">As Owner: Everything: Customize, Add card, Add app, field builder, Settings.</t>
        </is>
      </c>
    </row>
    <row r="131" spans="1:12" ht="42" x14ac:dyDescent="0.3">
      <c r="A131" s="2" t="inlineStr">
        <is>
          <t xml:space="preserve">ROLE-11</t>
        </is>
      </c>
      <c r="B131" s="2" t="inlineStr">
        <is>
          <t xml:space="preserve">Roles and accounts</t>
        </is>
      </c>
      <c r="C131" s="2" t="inlineStr">
        <is>
          <t xml:space="preserve">P1</t>
        </is>
      </c>
      <c r="D131" s="3" t="inlineStr">
        <is>
          <t xml:space="preserve">Workspaces — sub-items</t>
        </is>
      </c>
      <c r="E131" s="3" t="inlineStr">
        <is>
          <t xml:space="preserve">Open a record with a sub-item list.</t>
        </is>
      </c>
      <c r="F131" s="2"/>
      <c r="G131" s="6" t="inlineStr">
        <is>
          <t xml:space="preserve">Not tested</t>
        </is>
      </c>
      <c r="H131" s="3" t="inlineStr">
        <is>
          <t xml:space="preserve">Rows are readable. Add, edit, delete and the tick boxes are all unavailable.</t>
        </is>
      </c>
      <c r="I131" s="6" t="inlineStr">
        <is>
          <t xml:space="preserve">Not tested</t>
        </is>
      </c>
      <c r="J131" s="2"/>
      <c r="K131" s="2"/>
      <c r="L131" s="3" t="inlineStr">
        <is>
          <t xml:space="preserve">As Owner: Add, edit, delete and tick all work.</t>
        </is>
      </c>
    </row>
    <row r="132" spans="1:12" ht="42" x14ac:dyDescent="0.3">
      <c r="A132" s="2" t="inlineStr">
        <is>
          <t xml:space="preserve">ROLE-12</t>
        </is>
      </c>
      <c r="B132" s="2" t="inlineStr">
        <is>
          <t xml:space="preserve">Roles and accounts</t>
        </is>
      </c>
      <c r="C132" s="2" t="inlineStr">
        <is>
          <t xml:space="preserve">P2</t>
        </is>
      </c>
      <c r="D132" s="3" t="inlineStr">
        <is>
          <t xml:space="preserve">Workspaces — calendar memos</t>
        </is>
      </c>
      <c r="E132" s="3" t="inlineStr">
        <is>
          <t xml:space="preserve">Open an app calendar and hover a day.</t>
        </is>
      </c>
      <c r="F132" s="2"/>
      <c r="G132" s="6" t="inlineStr">
        <is>
          <t xml:space="preserve">Not tested</t>
        </is>
      </c>
      <c r="H132" s="3" t="inlineStr">
        <is>
          <t xml:space="preserve">Memos render. The + is absent and an existing memo cannot be edited.</t>
        </is>
      </c>
      <c r="I132" s="6" t="inlineStr">
        <is>
          <t xml:space="preserve">Not tested</t>
        </is>
      </c>
      <c r="J132" s="2"/>
      <c r="K132" s="2"/>
      <c r="L132" s="3" t="inlineStr">
        <is>
          <t xml:space="preserve">As Owner: The + appears and a memo can be added and edited.</t>
        </is>
      </c>
    </row>
    <row r="133" spans="1:12" ht="42" x14ac:dyDescent="0.3">
      <c r="A133" s="2" t="inlineStr">
        <is>
          <t xml:space="preserve">ROLE-13</t>
        </is>
      </c>
      <c r="B133" s="2" t="inlineStr">
        <is>
          <t xml:space="preserve">Roles and accounts</t>
        </is>
      </c>
      <c r="C133" s="2" t="inlineStr">
        <is>
          <t xml:space="preserve">P1</t>
        </is>
      </c>
      <c r="D133" s="3" t="inlineStr">
        <is>
          <t xml:space="preserve">Files</t>
        </is>
      </c>
      <c r="E133" s="3" t="inlineStr">
        <is>
          <t xml:space="preserve">Open Files, and job photos.</t>
        </is>
      </c>
      <c r="F133" s="2"/>
      <c r="G133" s="6" t="inlineStr">
        <is>
          <t xml:space="preserve">Not tested</t>
        </is>
      </c>
      <c r="H133" s="3" t="inlineStr">
        <is>
          <t xml:space="preserve">Listed and downloadable with files.view. Without files.manage: no upload, rename, move or delete, and no adding job photos.</t>
        </is>
      </c>
      <c r="I133" s="6" t="inlineStr">
        <is>
          <t xml:space="preserve">Not tested</t>
        </is>
      </c>
      <c r="J133" s="2"/>
      <c r="K133" s="2"/>
      <c r="L133" s="3" t="inlineStr">
        <is>
          <t xml:space="preserve">As Owner: Upload, rename, move, delete all available.</t>
        </is>
      </c>
    </row>
    <row r="134" spans="1:12" ht="42" x14ac:dyDescent="0.3">
      <c r="A134" s="2" t="inlineStr">
        <is>
          <t xml:space="preserve">ROLE-14</t>
        </is>
      </c>
      <c r="B134" s="2" t="inlineStr">
        <is>
          <t xml:space="preserve">Roles and accounts</t>
        </is>
      </c>
      <c r="C134" s="2" t="inlineStr">
        <is>
          <t xml:space="preserve">P1</t>
        </is>
      </c>
      <c r="D134" s="3" t="inlineStr">
        <is>
          <t xml:space="preserve">Contacts / CRM</t>
        </is>
      </c>
      <c r="E134" s="3" t="inlineStr">
        <is>
          <t xml:space="preserve">Open Contacts.</t>
        </is>
      </c>
      <c r="F134" s="2"/>
      <c r="G134" s="6" t="inlineStr">
        <is>
          <t xml:space="preserve">Not tested</t>
        </is>
      </c>
      <c r="H134" s="3" t="inlineStr">
        <is>
          <t xml:space="preserve">Readable with crm.view. All of those absent without crm.manage.</t>
        </is>
      </c>
      <c r="I134" s="6" t="inlineStr">
        <is>
          <t xml:space="preserve">Not tested</t>
        </is>
      </c>
      <c r="J134" s="2"/>
      <c r="K134" s="2"/>
      <c r="L134" s="3" t="inlineStr">
        <is>
          <t xml:space="preserve">As Owner: Add, edit, import, merge, delete available.</t>
        </is>
      </c>
    </row>
    <row r="135" spans="1:12" ht="42" x14ac:dyDescent="0.3">
      <c r="A135" s="2" t="inlineStr">
        <is>
          <t xml:space="preserve">ROLE-15</t>
        </is>
      </c>
      <c r="B135" s="2" t="inlineStr">
        <is>
          <t xml:space="preserve">Roles and accounts</t>
        </is>
      </c>
      <c r="C135" s="2" t="inlineStr">
        <is>
          <t xml:space="preserve">P1</t>
        </is>
      </c>
      <c r="D135" s="3" t="inlineStr">
        <is>
          <t xml:space="preserve">Finance</t>
        </is>
      </c>
      <c r="E135" s="3" t="inlineStr">
        <is>
          <t xml:space="preserve">Open Finance.</t>
        </is>
      </c>
      <c r="F135" s="2"/>
      <c r="G135" s="6" t="inlineStr">
        <is>
          <t xml:space="preserve">Not tested</t>
        </is>
      </c>
      <c r="H135" s="3" t="inlineStr">
        <is>
          <t xml:space="preserve">Figures visible only with finance.view. Nothing editable and nothing creatable without finance.manage.</t>
        </is>
      </c>
      <c r="I135" s="6" t="inlineStr">
        <is>
          <t xml:space="preserve">Not tested</t>
        </is>
      </c>
      <c r="J135" s="2"/>
      <c r="K135" s="2"/>
      <c r="L135" s="3" t="inlineStr">
        <is>
          <t xml:space="preserve">As Owner: Figures visible and editable; invoices and payments can be created.</t>
        </is>
      </c>
    </row>
    <row r="136" spans="1:12" ht="42" x14ac:dyDescent="0.3">
      <c r="A136" s="2" t="inlineStr">
        <is>
          <t xml:space="preserve">ROLE-16</t>
        </is>
      </c>
      <c r="B136" s="2" t="inlineStr">
        <is>
          <t xml:space="preserve">Roles and accounts</t>
        </is>
      </c>
      <c r="C136" s="2" t="inlineStr">
        <is>
          <t xml:space="preserve">P1</t>
        </is>
      </c>
      <c r="D136" s="3" t="inlineStr">
        <is>
          <t xml:space="preserve">Tasks</t>
        </is>
      </c>
      <c r="E136" s="3" t="inlineStr">
        <is>
          <t xml:space="preserve">Open Tasks.</t>
        </is>
      </c>
      <c r="F136" s="2"/>
      <c r="G136" s="6" t="inlineStr">
        <is>
          <t xml:space="preserve">Not tested</t>
        </is>
      </c>
      <c r="H136" s="3" t="inlineStr">
        <is>
          <t xml:space="preserve">Readable with tasks.view. Without tasks.manage: no New task, no edit, and ticking somebody else’s task is refused.</t>
        </is>
      </c>
      <c r="I136" s="6" t="inlineStr">
        <is>
          <t xml:space="preserve">Not tested</t>
        </is>
      </c>
      <c r="J136" s="2"/>
      <c r="K136" s="2"/>
      <c r="L136" s="3" t="inlineStr">
        <is>
          <t xml:space="preserve">As Owner: New task and edit available; any task can be ticked.</t>
        </is>
      </c>
    </row>
    <row r="137" spans="1:12" ht="42" x14ac:dyDescent="0.3">
      <c r="A137" s="2" t="inlineStr">
        <is>
          <t xml:space="preserve">ROLE-17</t>
        </is>
      </c>
      <c r="B137" s="2" t="inlineStr">
        <is>
          <t xml:space="preserve">Roles and accounts</t>
        </is>
      </c>
      <c r="C137" s="2" t="inlineStr">
        <is>
          <t xml:space="preserve">P0</t>
        </is>
      </c>
      <c r="D137" s="3" t="inlineStr">
        <is>
          <t xml:space="preserve">Users</t>
        </is>
      </c>
      <c r="E137" s="3" t="inlineStr">
        <is>
          <t xml:space="preserve">Settings &gt; Users.</t>
        </is>
      </c>
      <c r="F137" s="2" t="inlineStr">
        <is>
          <t xml:space="preserve">critical</t>
        </is>
      </c>
      <c r="G137" s="6" t="inlineStr">
        <is>
          <t xml:space="preserve">Not tested</t>
        </is>
      </c>
      <c r="H137" s="3" t="inlineStr">
        <is>
          <t xml:space="preserve">List readable only with users.view. Invite, role change and remove all ABSENT without users.manage.</t>
        </is>
      </c>
      <c r="I137" s="6" t="inlineStr">
        <is>
          <t xml:space="preserve">Not tested</t>
        </is>
      </c>
      <c r="J137" s="2"/>
      <c r="K137" s="2"/>
      <c r="L137" s="3" t="inlineStr">
        <is>
          <t xml:space="preserve">As Owner: List readable; invite, role change and remove all work.</t>
        </is>
      </c>
    </row>
    <row r="138" spans="1:12" ht="42" x14ac:dyDescent="0.3">
      <c r="A138" s="2" t="inlineStr">
        <is>
          <t xml:space="preserve">ROLE-18</t>
        </is>
      </c>
      <c r="B138" s="2" t="inlineStr">
        <is>
          <t xml:space="preserve">Roles and accounts</t>
        </is>
      </c>
      <c r="C138" s="2" t="inlineStr">
        <is>
          <t xml:space="preserve">P1</t>
        </is>
      </c>
      <c r="D138" s="3" t="inlineStr">
        <is>
          <t xml:space="preserve">Settings</t>
        </is>
      </c>
      <c r="E138" s="3" t="inlineStr">
        <is>
          <t xml:space="preserve">Open Settings.</t>
        </is>
      </c>
      <c r="F138" s="2"/>
      <c r="G138" s="6" t="inlineStr">
        <is>
          <t xml:space="preserve">Not tested</t>
        </is>
      </c>
      <c r="H138" s="3" t="inlineStr">
        <is>
          <t xml:space="preserve">Pages open read-only with settings.view. Nothing saves, and nothing pretends to have saved.</t>
        </is>
      </c>
      <c r="I138" s="6" t="inlineStr">
        <is>
          <t xml:space="preserve">Not tested</t>
        </is>
      </c>
      <c r="J138" s="2"/>
      <c r="K138" s="2"/>
      <c r="L138" s="3" t="inlineStr">
        <is>
          <t xml:space="preserve">As Owner: Everything editable and saving.</t>
        </is>
      </c>
    </row>
    <row r="139" spans="1:12" ht="42" x14ac:dyDescent="0.3">
      <c r="A139" s="2" t="inlineStr">
        <is>
          <t xml:space="preserve">ROLE-19</t>
        </is>
      </c>
      <c r="B139" s="2" t="inlineStr">
        <is>
          <t xml:space="preserve">Roles and accounts</t>
        </is>
      </c>
      <c r="C139" s="2" t="inlineStr">
        <is>
          <t xml:space="preserve">P0</t>
        </is>
      </c>
      <c r="D139" s="3" t="inlineStr">
        <is>
          <t xml:space="preserve">Roles</t>
        </is>
      </c>
      <c r="E139" s="3" t="inlineStr">
        <is>
          <t xml:space="preserve">Settings &gt; Roles.</t>
        </is>
      </c>
      <c r="F139" s="2" t="inlineStr">
        <is>
          <t xml:space="preserve">critical</t>
        </is>
      </c>
      <c r="G139" s="6" t="inlineStr">
        <is>
          <t xml:space="preserve">Not tested</t>
        </is>
      </c>
      <c r="H139" s="3" t="inlineStr">
        <is>
          <t xml:space="preserve">Readable only with roles.view. No role can be created, edited or deleted — including the member’s own.</t>
        </is>
      </c>
      <c r="I139" s="6" t="inlineStr">
        <is>
          <t xml:space="preserve">Not tested</t>
        </is>
      </c>
      <c r="J139" s="2"/>
      <c r="K139" s="2"/>
      <c r="L139" s="3" t="inlineStr">
        <is>
          <t xml:space="preserve">As Owner: Roles can be created, edited and deleted.</t>
        </is>
      </c>
    </row>
    <row r="140" spans="1:12" ht="42" x14ac:dyDescent="0.3">
      <c r="A140" s="2" t="inlineStr">
        <is>
          <t xml:space="preserve">ROLE-20</t>
        </is>
      </c>
      <c r="B140" s="2" t="inlineStr">
        <is>
          <t xml:space="preserve">Roles and accounts</t>
        </is>
      </c>
      <c r="C140" s="2" t="inlineStr">
        <is>
          <t xml:space="preserve">P0</t>
        </is>
      </c>
      <c r="D140" s="3" t="inlineStr">
        <is>
          <t xml:space="preserve">A role cannot widen itself</t>
        </is>
      </c>
      <c r="E140" s="3" t="inlineStr">
        <is>
          <t xml:space="preserve">As the member, try to reach Settings &gt; Roles and grant yourself a permission. Then try the URL directly.</t>
        </is>
      </c>
      <c r="F140" s="2" t="inlineStr">
        <is>
          <t xml:space="preserve">critical</t>
        </is>
      </c>
      <c r="G140" s="6" t="inlineStr">
        <is>
          <t xml:space="preserve">Not tested</t>
        </is>
      </c>
      <c r="H140" s="3" t="inlineStr">
        <is>
          <t xml:space="preserve">Refused both ways. This is the one that matters most: if it passes, every other gate is decorative.</t>
        </is>
      </c>
      <c r="I140" s="6" t="inlineStr">
        <is>
          <t xml:space="preserve">Not tested</t>
        </is>
      </c>
      <c r="J140" s="2"/>
      <c r="K140" s="2"/>
      <c r="L140" s="3" t="inlineStr">
        <is>
          <t xml:space="preserve">As Owner: n/a — the Owner is allowed to.</t>
        </is>
      </c>
    </row>
    <row r="141" spans="1:12" ht="42" x14ac:dyDescent="0.3">
      <c r="A141" s="2" t="inlineStr">
        <is>
          <t xml:space="preserve">ROLE-21</t>
        </is>
      </c>
      <c r="B141" s="2" t="inlineStr">
        <is>
          <t xml:space="preserve">Roles and accounts</t>
        </is>
      </c>
      <c r="C141" s="2" t="inlineStr">
        <is>
          <t xml:space="preserve">P1</t>
        </is>
      </c>
      <c r="D141" s="3" t="inlineStr">
        <is>
          <t xml:space="preserve">manage without view — decide what is right</t>
        </is>
      </c>
      <c r="E141" s="3" t="inlineStr">
        <is>
          <t xml:space="preserve">The seeded "member" role holds users.manage WITHOUT users.view. Sign in on it and open Settings &gt; Users.</t>
        </is>
      </c>
      <c r="F141" s="2"/>
      <c r="G141" s="6" t="inlineStr">
        <is>
          <t xml:space="preserve">Not tested</t>
        </is>
      </c>
      <c r="H141" s="3" t="inlineStr">
        <is>
          <t xml:space="preserve">UNDECIDED. Record what SHOULD happen: either manage implies view, or the module stays hidden. This is a design question, not automatically a bug — write the answer in Notes.</t>
        </is>
      </c>
      <c r="I141" s="6" t="inlineStr">
        <is>
          <t xml:space="preserve">Not tested</t>
        </is>
      </c>
      <c r="J141" s="2"/>
      <c r="K141" s="2"/>
      <c r="L141" s="3"/>
    </row>
    <row r="142" spans="1:12" ht="42" x14ac:dyDescent="0.3">
      <c r="A142" s="2" t="inlineStr">
        <is>
          <t xml:space="preserve">ROLE-22</t>
        </is>
      </c>
      <c r="B142" s="2" t="inlineStr">
        <is>
          <t xml:space="preserve">Roles and accounts</t>
        </is>
      </c>
      <c r="C142" s="2" t="inlineStr">
        <is>
          <t xml:space="preserve">P1</t>
        </is>
      </c>
      <c r="D142" s="3" t="inlineStr">
        <is>
          <t xml:space="preserve">Granting a permission takes effect</t>
        </is>
      </c>
      <c r="E142" s="3" t="inlineStr">
        <is>
          <t xml:space="preserve">As Owner, add a permission to the member role. Reload the member window.</t>
        </is>
      </c>
      <c r="F142" s="2"/>
      <c r="G142" s="6" t="inlineStr">
        <is>
          <t xml:space="preserve">Not tested</t>
        </is>
      </c>
      <c r="H142" s="3" t="inlineStr">
        <is>
          <t xml:space="preserve">The module appears after a reload — no fresh sign-in needed.</t>
        </is>
      </c>
      <c r="I142" s="6" t="inlineStr">
        <is>
          <t xml:space="preserve">Not tested</t>
        </is>
      </c>
      <c r="J142" s="2"/>
      <c r="K142" s="2"/>
      <c r="L142" s="3" t="inlineStr">
        <is>
          <t xml:space="preserve">As Owner: The change saves.</t>
        </is>
      </c>
    </row>
    <row r="143" spans="1:12" ht="42" x14ac:dyDescent="0.3">
      <c r="A143" s="2" t="inlineStr">
        <is>
          <t xml:space="preserve">ROLE-23</t>
        </is>
      </c>
      <c r="B143" s="2" t="inlineStr">
        <is>
          <t xml:space="preserve">Roles and accounts</t>
        </is>
      </c>
      <c r="C143" s="2" t="inlineStr">
        <is>
          <t xml:space="preserve">P0</t>
        </is>
      </c>
      <c r="D143" s="3" t="inlineStr">
        <is>
          <t xml:space="preserve">Removing a permission takes effect</t>
        </is>
      </c>
      <c r="E143" s="3" t="inlineStr">
        <is>
          <t xml:space="preserve">Remove it again and reload the member window. Then paste the direct URL.</t>
        </is>
      </c>
      <c r="F143" s="2" t="inlineStr">
        <is>
          <t xml:space="preserve">critical</t>
        </is>
      </c>
      <c r="G143" s="6" t="inlineStr">
        <is>
          <t xml:space="preserve">Not tested</t>
        </is>
      </c>
      <c r="H143" s="3" t="inlineStr">
        <is>
          <t xml:space="preserve">The module disappears AND the direct URL is refused. A stale session that keeps access is a security fail.</t>
        </is>
      </c>
      <c r="I143" s="6" t="inlineStr">
        <is>
          <t xml:space="preserve">Not tested</t>
        </is>
      </c>
      <c r="J143" s="2"/>
      <c r="K143" s="2"/>
      <c r="L143" s="3" t="inlineStr">
        <is>
          <t xml:space="preserve">As Owner: The change saves.</t>
        </is>
      </c>
    </row>
    <row r="144" spans="1:12" ht="42" x14ac:dyDescent="0.3">
      <c r="A144" s="2" t="inlineStr">
        <is>
          <t xml:space="preserve">ROLE-24</t>
        </is>
      </c>
      <c r="B144" s="2" t="inlineStr">
        <is>
          <t xml:space="preserve">Roles and accounts</t>
        </is>
      </c>
      <c r="C144" s="2" t="inlineStr">
        <is>
          <t xml:space="preserve">P0</t>
        </is>
      </c>
      <c r="D144" s="3" t="inlineStr">
        <is>
          <t xml:space="preserve">Only its own company</t>
        </is>
      </c>
      <c r="E144" s="3" t="inlineStr">
        <is>
          <t xml:space="preserve">Open the company switcher as the member. Then paste another company’s URL.</t>
        </is>
      </c>
      <c r="F144" s="2" t="inlineStr">
        <is>
          <t xml:space="preserve">critical</t>
        </is>
      </c>
      <c r="G144" s="6" t="inlineStr">
        <is>
          <t xml:space="preserve">Not tested</t>
        </is>
      </c>
      <c r="H144" s="3" t="inlineStr">
        <is>
          <t xml:space="preserve">Only its own company. Another company’s URL is refused.</t>
        </is>
      </c>
      <c r="I144" s="6" t="inlineStr">
        <is>
          <t xml:space="preserve">Not tested</t>
        </is>
      </c>
      <c r="J144" s="2"/>
      <c r="K144" s="2"/>
      <c r="L144" s="3" t="inlineStr">
        <is>
          <t xml:space="preserve">As Owner: All companies you belong to are listed.</t>
        </is>
      </c>
    </row>
    <row r="145" spans="1:12" ht="42" x14ac:dyDescent="0.3">
      <c r="A145" s="2" t="inlineStr">
        <is>
          <t xml:space="preserve">ROLE-25</t>
        </is>
      </c>
      <c r="B145" s="2" t="inlineStr">
        <is>
          <t xml:space="preserve">Roles and accounts</t>
        </is>
      </c>
      <c r="C145" s="2" t="inlineStr">
        <is>
          <t xml:space="preserve">P0</t>
        </is>
      </c>
      <c r="D145" s="3" t="inlineStr">
        <is>
          <t xml:space="preserve">Workspace scoping</t>
        </is>
      </c>
      <c r="E145" s="3" t="inlineStr">
        <is>
          <t xml:space="preserve">With two workspaces in one company, give the member access to one only.</t>
        </is>
      </c>
      <c r="F145" s="2" t="inlineStr">
        <is>
          <t xml:space="preserve">critical</t>
        </is>
      </c>
      <c r="G145" s="6" t="inlineStr">
        <is>
          <t xml:space="preserve">Not tested</t>
        </is>
      </c>
      <c r="H145" s="3" t="inlineStr">
        <is>
          <t xml:space="preserve">Only the permitted workspace. The other’s apps, records and files are unreachable in the deck AND by URL.</t>
        </is>
      </c>
      <c r="I145" s="6" t="inlineStr">
        <is>
          <t xml:space="preserve">Not tested</t>
        </is>
      </c>
      <c r="J145" s="2"/>
      <c r="K145" s="2"/>
      <c r="L145" s="3" t="inlineStr">
        <is>
          <t xml:space="preserve">As Owner: Both workspaces and all their apps.</t>
        </is>
      </c>
    </row>
    <row r="146" spans="1:12" ht="42" x14ac:dyDescent="0.3">
      <c r="A146" s="2" t="inlineStr">
        <is>
          <t xml:space="preserve">ROLE-26</t>
        </is>
      </c>
      <c r="B146" s="2" t="inlineStr">
        <is>
          <t xml:space="preserve">Roles and accounts</t>
        </is>
      </c>
      <c r="C146" s="2" t="inlineStr">
        <is>
          <t xml:space="preserve">P1</t>
        </is>
      </c>
      <c r="D146" s="3" t="inlineStr">
        <is>
          <t xml:space="preserve">Private saved views stay private</t>
        </is>
      </c>
      <c r="E146" s="3" t="inlineStr">
        <is>
          <t xml:space="preserve">Create a private view on each account.</t>
        </is>
      </c>
      <c r="F146" s="2"/>
      <c r="G146" s="6" t="inlineStr">
        <is>
          <t xml:space="preserve">Not tested</t>
        </is>
      </c>
      <c r="H146" s="3" t="inlineStr">
        <is>
          <t xml:space="preserve">The member’s private view is not visible to the Owner.</t>
        </is>
      </c>
      <c r="I146" s="6" t="inlineStr">
        <is>
          <t xml:space="preserve">Not tested</t>
        </is>
      </c>
      <c r="J146" s="2"/>
      <c r="K146" s="2"/>
      <c r="L146" s="3" t="inlineStr">
        <is>
          <t xml:space="preserve">As Owner: The Owner’s private view is not visible to the member.</t>
        </is>
      </c>
    </row>
    <row r="147" spans="1:12" ht="42" x14ac:dyDescent="0.3">
      <c r="A147" s="2" t="inlineStr">
        <is>
          <t xml:space="preserve">ROLE-27</t>
        </is>
      </c>
      <c r="B147" s="2" t="inlineStr">
        <is>
          <t xml:space="preserve">Roles and accounts</t>
        </is>
      </c>
      <c r="C147" s="2" t="inlineStr">
        <is>
          <t xml:space="preserve">P0</t>
        </is>
      </c>
      <c r="D147" s="3" t="inlineStr">
        <is>
          <t xml:space="preserve">App Market shares structure, not records</t>
        </is>
      </c>
      <c r="E147" s="3" t="inlineStr">
        <is>
          <t xml:space="preserve">Share an app as Owner, install it from another account.</t>
        </is>
      </c>
      <c r="F147" s="2" t="inlineStr">
        <is>
          <t xml:space="preserve">critical</t>
        </is>
      </c>
      <c r="G147" s="6" t="inlineStr">
        <is>
          <t xml:space="preserve">Not tested</t>
        </is>
      </c>
      <c r="H147" s="3" t="inlineStr">
        <is>
          <t xml:space="preserve">Fields, layout, dashboard and views arrive. Records do NOT. Any record crossing over is a P0 data leak.</t>
        </is>
      </c>
      <c r="I147" s="6" t="inlineStr">
        <is>
          <t xml:space="preserve">Not tested</t>
        </is>
      </c>
      <c r="J147" s="2"/>
      <c r="K147" s="2"/>
      <c r="L147" s="3" t="inlineStr">
        <is>
          <t xml:space="preserve">As Owner: Sharing works.</t>
        </is>
      </c>
    </row>
    <row r="148" spans="1:12" ht="42" x14ac:dyDescent="0.3">
      <c r="A148" s="2" t="inlineStr">
        <is>
          <t xml:space="preserve">ROLE-28</t>
        </is>
      </c>
      <c r="B148" s="2" t="inlineStr">
        <is>
          <t xml:space="preserve">Roles and accounts</t>
        </is>
      </c>
      <c r="C148" s="2" t="inlineStr">
        <is>
          <t xml:space="preserve">P1</t>
        </is>
      </c>
      <c r="D148" s="3" t="inlineStr">
        <is>
          <t xml:space="preserve">A linked install shares data on purpose</t>
        </is>
      </c>
      <c r="E148" s="3" t="inlineStr">
        <is>
          <t xml:space="preserve">Install an app linked into another workspace, then edit it from each side.</t>
        </is>
      </c>
      <c r="F148" s="2"/>
      <c r="G148" s="6" t="inlineStr">
        <is>
          <t xml:space="preserve">Not tested</t>
        </is>
      </c>
      <c r="H148" s="3" t="inlineStr">
        <is>
          <t xml:space="preserve">The edit appears in both — shared data here is CORRECT, not a leak. Do not raise it.</t>
        </is>
      </c>
      <c r="I148" s="6" t="inlineStr">
        <is>
          <t xml:space="preserve">Not tested</t>
        </is>
      </c>
      <c r="J148" s="2"/>
      <c r="K148" s="2"/>
      <c r="L148" s="3" t="inlineStr">
        <is>
          <t xml:space="preserve">As Owner: The edit appears in both.</t>
        </is>
      </c>
    </row>
    <row r="149" spans="1:12" ht="42" x14ac:dyDescent="0.3">
      <c r="A149" s="2" t="inlineStr">
        <is>
          <t xml:space="preserve">ROLE-29</t>
        </is>
      </c>
      <c r="B149" s="2" t="inlineStr">
        <is>
          <t xml:space="preserve">Roles and accounts</t>
        </is>
      </c>
      <c r="C149" s="2" t="inlineStr">
        <is>
          <t xml:space="preserve">P1</t>
        </is>
      </c>
      <c r="D149" s="3" t="inlineStr">
        <is>
          <t xml:space="preserve">Two sessions on one record</t>
        </is>
      </c>
      <c r="E149" s="3" t="inlineStr">
        <is>
          <t xml:space="preserve">Open the same record in both windows. Edit as Owner, refresh the member.</t>
        </is>
      </c>
      <c r="F149" s="2"/>
      <c r="G149" s="6" t="inlineStr">
        <is>
          <t xml:space="preserve">Not tested</t>
        </is>
      </c>
      <c r="H149" s="3" t="inlineStr">
        <is>
          <t xml:space="preserve">The change is there and nothing else was overwritten.</t>
        </is>
      </c>
      <c r="I149" s="6" t="inlineStr">
        <is>
          <t xml:space="preserve">Not tested</t>
        </is>
      </c>
      <c r="J149" s="2"/>
      <c r="K149" s="2"/>
      <c r="L149" s="3" t="inlineStr">
        <is>
          <t xml:space="preserve">As Owner: The edit saves.</t>
        </is>
      </c>
    </row>
    <row r="150" spans="1:12" ht="42" x14ac:dyDescent="0.3">
      <c r="A150" s="2" t="inlineStr">
        <is>
          <t xml:space="preserve">ROLE-30</t>
        </is>
      </c>
      <c r="B150" s="2" t="inlineStr">
        <is>
          <t xml:space="preserve">Roles and accounts</t>
        </is>
      </c>
      <c r="C150" s="2" t="inlineStr">
        <is>
          <t xml:space="preserve">P1</t>
        </is>
      </c>
      <c r="D150" s="3" t="inlineStr">
        <is>
          <t xml:space="preserve">Notifications reach one person</t>
        </is>
      </c>
      <c r="E150" s="3" t="inlineStr">
        <is>
          <t xml:space="preserve">As Owner, assign a needs-attention item to the member.</t>
        </is>
      </c>
      <c r="F150" s="2"/>
      <c r="G150" s="6" t="inlineStr">
        <is>
          <t xml:space="preserve">Not tested</t>
        </is>
      </c>
      <c r="H150" s="3" t="inlineStr">
        <is>
          <t xml:space="preserve">It appears in the member’s My Queue — and in nobody else’s.</t>
        </is>
      </c>
      <c r="I150" s="6" t="inlineStr">
        <is>
          <t xml:space="preserve">Not tested</t>
        </is>
      </c>
      <c r="J150" s="2"/>
      <c r="K150" s="2"/>
      <c r="L150" s="3" t="inlineStr">
        <is>
          <t xml:space="preserve">As Owner: The assignment saves.</t>
        </is>
      </c>
    </row>
    <row r="151" spans="1:12" ht="42" x14ac:dyDescent="0.3">
      <c r="A151" s="2" t="inlineStr">
        <is>
          <t xml:space="preserve">ROLE-31</t>
        </is>
      </c>
      <c r="B151" s="2" t="inlineStr">
        <is>
          <t xml:space="preserve">Roles and accounts</t>
        </is>
      </c>
      <c r="C151" s="2" t="inlineStr">
        <is>
          <t xml:space="preserve">P0</t>
        </is>
      </c>
      <c r="D151" s="3" t="inlineStr">
        <is>
          <t xml:space="preserve">Sign out leaves nothing behind</t>
        </is>
      </c>
      <c r="E151" s="3" t="inlineStr">
        <is>
          <t xml:space="preserve">Sign out, then press browser Back.</t>
        </is>
      </c>
      <c r="F151" s="2" t="inlineStr">
        <is>
          <t xml:space="preserve">critical</t>
        </is>
      </c>
      <c r="G151" s="6" t="inlineStr">
        <is>
          <t xml:space="preserve">Not tested</t>
        </is>
      </c>
      <c r="H151" s="3" t="inlineStr">
        <is>
          <t xml:space="preserve">Lands on the marketing page. A cached screen still showing data is a P0.</t>
        </is>
      </c>
      <c r="I151" s="6" t="inlineStr">
        <is>
          <t xml:space="preserve">Not tested</t>
        </is>
      </c>
      <c r="J151" s="2"/>
      <c r="K151" s="2"/>
      <c r="L151" s="3" t="inlineStr">
        <is>
          <t xml:space="preserve">As Owner: Lands on the marketing page.</t>
        </is>
      </c>
    </row>
  </sheetData>
  <autoFilter ref="A1:L151" xr:uid="{00000000-0009-0000-0000-000001000000}"/>
  <conditionalFormatting sqref="A2:L151">
    <cfRule type="expression" dxfId="2" priority="1">
      <formula>$G2="Fail"</formula>
    </cfRule>
    <cfRule type="expression" dxfId="1" priority="2">
      <formula>$G2="Pass"</formula>
    </cfRule>
    <cfRule type="expression" dxfId="0" priority="3">
      <formula>$G2="Blocked"</formula>
    </cfRule>
  </conditionalFormatting>
  <conditionalFormatting sqref="I2:I151">
    <cfRule type="expression" dxfId="2" priority="4">
      <formula>$I2="Fail"</formula>
    </cfRule>
    <cfRule type="expression" dxfId="1" priority="5">
      <formula>$I2="Pass"</formula>
    </cfRule>
    <cfRule type="expression" dxfId="0" priority="6">
      <formula>$I2="Blocked"</formula>
    </cfRule>
  </conditionalFormatting>
  <dataValidations count="2">
    <dataValidation type="list" allowBlank="1" showInputMessage="1" showErrorMessage="1" sqref="G2:G151" xr:uid="{00000000-0002-0000-0100-000000000000}">
      <formula1>"Not tested,Pass,Fail,Blocked,N/A"</formula1>
    </dataValidation>
    <dataValidation type="list" allowBlank="1" showInputMessage="1" showErrorMessage="1" sqref="I2:I151">
      <formula1>"Not tested,Pass,Fail,Blocked,N/A"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2" customWidth="1"/>
    <col min="2" max="2" width="18" customWidth="1"/>
  </cols>
  <sheetData>
    <row r="1" spans="1:2" x14ac:dyDescent="0.3">
      <c r="A1" s="1" t="s">
        <v>400</v>
      </c>
      <c r="B1" s="1" t="s">
        <v>401</v>
      </c>
    </row>
    <row r="2" spans="1:2" x14ac:dyDescent="0.3">
      <c r="A2" s="2" t="s">
        <v>402</v>
      </c>
      <c r="B2" s="2">
        <v>40</v>
      </c>
    </row>
    <row r="3" spans="1:2" x14ac:dyDescent="0.3">
      <c r="A3" s="2" t="s">
        <v>403</v>
      </c>
      <c r="B3" s="2">
        <v>36</v>
      </c>
    </row>
    <row r="4" spans="1:2" x14ac:dyDescent="0.3">
      <c r="A4" s="2" t="s">
        <v>272</v>
      </c>
      <c r="B4" s="2">
        <v>34</v>
      </c>
    </row>
    <row r="5" spans="1:2" x14ac:dyDescent="0.3">
      <c r="A5" s="2" t="s">
        <v>404</v>
      </c>
      <c r="B5" s="2">
        <v>33</v>
      </c>
    </row>
    <row r="6" spans="1:2" x14ac:dyDescent="0.3">
      <c r="A6" s="2" t="s">
        <v>405</v>
      </c>
      <c r="B6" s="2">
        <v>23</v>
      </c>
    </row>
    <row r="7" spans="1:2" x14ac:dyDescent="0.3">
      <c r="A7" s="2" t="s">
        <v>406</v>
      </c>
      <c r="B7" s="2">
        <v>17</v>
      </c>
    </row>
    <row r="8" spans="1:2" x14ac:dyDescent="0.3">
      <c r="A8" s="2" t="s">
        <v>407</v>
      </c>
      <c r="B8" s="2">
        <v>16</v>
      </c>
    </row>
    <row r="9" spans="1:2" x14ac:dyDescent="0.3">
      <c r="A9" s="2" t="s">
        <v>408</v>
      </c>
      <c r="B9" s="2">
        <v>15</v>
      </c>
    </row>
    <row r="10" spans="1:2" x14ac:dyDescent="0.3">
      <c r="A10" s="2" t="s">
        <v>284</v>
      </c>
      <c r="B10" s="2">
        <v>13</v>
      </c>
    </row>
    <row r="11" spans="1:2" x14ac:dyDescent="0.3">
      <c r="A11" s="2" t="s">
        <v>409</v>
      </c>
      <c r="B11" s="2">
        <v>13</v>
      </c>
    </row>
    <row r="12" spans="1:2" x14ac:dyDescent="0.3">
      <c r="A12" s="2" t="s">
        <v>410</v>
      </c>
      <c r="B12" s="2">
        <v>11</v>
      </c>
    </row>
    <row r="13" spans="1:2" x14ac:dyDescent="0.3">
      <c r="A13" s="2" t="s">
        <v>411</v>
      </c>
      <c r="B13" s="2">
        <v>9</v>
      </c>
    </row>
    <row r="14" spans="1:2" x14ac:dyDescent="0.3">
      <c r="A14" s="2" t="s">
        <v>288</v>
      </c>
      <c r="B14" s="2">
        <v>9</v>
      </c>
    </row>
    <row r="15" spans="1:2" x14ac:dyDescent="0.3">
      <c r="A15" s="2" t="s">
        <v>412</v>
      </c>
      <c r="B15" s="2">
        <v>8</v>
      </c>
    </row>
    <row r="16" spans="1:2" x14ac:dyDescent="0.3">
      <c r="A16" s="2" t="s">
        <v>280</v>
      </c>
      <c r="B16" s="2">
        <v>7</v>
      </c>
    </row>
    <row r="17" spans="1:2" x14ac:dyDescent="0.3">
      <c r="A17" s="2" t="s">
        <v>413</v>
      </c>
      <c r="B17" s="2">
        <v>7</v>
      </c>
    </row>
    <row r="18" spans="1:2" x14ac:dyDescent="0.3">
      <c r="A18" s="2" t="s">
        <v>414</v>
      </c>
      <c r="B18" s="2">
        <v>7</v>
      </c>
    </row>
    <row r="19" spans="1:2" x14ac:dyDescent="0.3">
      <c r="A19" s="2" t="s">
        <v>415</v>
      </c>
      <c r="B19" s="2">
        <v>7</v>
      </c>
    </row>
    <row r="20" spans="1:2" x14ac:dyDescent="0.3">
      <c r="A20" s="2" t="s">
        <v>416</v>
      </c>
      <c r="B20" s="2">
        <v>6</v>
      </c>
    </row>
    <row r="21" spans="1:2" x14ac:dyDescent="0.3">
      <c r="A21" s="2" t="s">
        <v>417</v>
      </c>
      <c r="B21" s="2">
        <v>5</v>
      </c>
    </row>
    <row r="22" spans="1:2" x14ac:dyDescent="0.3">
      <c r="A22" s="2" t="s">
        <v>326</v>
      </c>
      <c r="B22" s="2">
        <v>4</v>
      </c>
    </row>
    <row r="23" spans="1:2" x14ac:dyDescent="0.3">
      <c r="A23" s="2" t="s">
        <v>307</v>
      </c>
      <c r="B23" s="2">
        <v>4</v>
      </c>
    </row>
    <row r="24" spans="1:2" x14ac:dyDescent="0.3">
      <c r="A24" s="2" t="s">
        <v>418</v>
      </c>
      <c r="B24" s="2">
        <v>40</v>
      </c>
    </row>
    <row r="25" spans="1:2" x14ac:dyDescent="0.3">
      <c r="A25" s="1" t="s">
        <v>419</v>
      </c>
      <c r="B25" s="1">
        <v>364</v>
      </c>
    </row>
    <row r="27" spans="1:2" ht="43.2" x14ac:dyDescent="0.3">
      <c r="A27" s="5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Checklist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Roman Juan Eugenio I</cp:lastModifiedBy>
  <dcterms:modified xsi:type="dcterms:W3CDTF">2026-08-04T16:24:16Z</dcterms:modified>
</cp:coreProperties>
</file>