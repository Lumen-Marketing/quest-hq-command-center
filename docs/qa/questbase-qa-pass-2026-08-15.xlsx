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sheets>
    <sheet name="Checks" sheetId="1" r:id="rId1"/>
    <sheet name="Summary" sheetId="2" r:id="rId2"/>
    <sheet name="Reference" sheetId="3" r:id="rId3"/>
  </sheets>
  <calcPr calcId="171027" fullCalcOnLoad="1"/>
</workbook>
</file>

<file path=xl/styles.xml><?xml version="1.0" encoding="utf-8"?>
<styleSheet xmlns="http://schemas.openxmlformats.org/spreadsheetml/2006/main">
  <numFmts count="1">
    <numFmt numFmtId="165" formatCode="yyyy\-mm\-dd"/>
  </numFmts>
  <fonts count="8">
    <font>
      <sz val="11"/>
      <color rgb="FF35423F"/>
      <name val="Calibri"/>
    </font>
    <font>
      <b/>
      <sz val="11"/>
      <color rgb="FFFFFFFF"/>
      <name val="Calibri"/>
    </font>
    <font>
      <b/>
      <sz val="16"/>
      <color rgb="FF15201E"/>
      <name val="Calibri"/>
    </font>
    <font>
      <sz val="10"/>
      <color rgb="FF6B7A77"/>
      <name val="Calibri"/>
    </font>
    <font>
      <sz val="10"/>
      <color rgb="FF15201E"/>
      <name val="Consolas"/>
    </font>
    <font>
      <b/>
      <sz val="11"/>
      <color rgb="FF15201E"/>
      <name val="Calibri"/>
    </font>
    <font>
      <b/>
      <sz val="10"/>
      <color rgb="FFC24720"/>
      <name val="Calibri"/>
    </font>
    <font>
      <sz val="11"/>
      <color rgb="FF15201E"/>
      <name val="Calibri"/>
    </font>
  </fonts>
  <fills count="7">
    <fill>
      <patternFill patternType="none"/>
    </fill>
    <fill>
      <patternFill patternType="gray125"/>
    </fill>
    <fill>
      <patternFill patternType="solid">
        <fgColor rgb="FFC24720"/>
        <bgColor indexed="64"/>
      </patternFill>
    </fill>
    <fill>
      <patternFill patternType="solid">
        <fgColor rgb="FFF2F5F4"/>
        <bgColor indexed="64"/>
      </patternFill>
    </fill>
    <fill>
      <patternFill patternType="solid">
        <fgColor rgb="FFDFEFED"/>
        <bgColor indexed="64"/>
      </patternFill>
    </fill>
    <fill>
      <patternFill patternType="solid">
        <fgColor rgb="FFF6EDDC"/>
        <bgColor indexed="64"/>
      </patternFill>
    </fill>
    <fill>
      <patternFill patternType="solid">
        <fgColor rgb="FFEBEEEC"/>
        <bgColor indexed="64"/>
      </patternFill>
    </fill>
  </fills>
  <borders count="3">
    <border>
      <left/>
      <right/>
      <top/>
      <bottom/>
      <diagonal/>
    </border>
    <border>
      <left style="hair">
        <color rgb="FFD6DCDA"/>
      </left>
      <right style="hair">
        <color rgb="FFD6DCDA"/>
      </right>
      <top style="hair">
        <color rgb="FFD6DCDA"/>
      </top>
      <bottom style="hair">
        <color rgb="FFD6DCDA"/>
      </bottom>
      <diagonal/>
    </border>
    <border>
      <left/>
      <right/>
      <top/>
      <bottom style="thin">
        <color rgb="FF15201E"/>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4" fillId="0" borderId="1" xfId="0" applyFont="1" applyBorder="1" applyAlignment="1">
      <alignment vertical="top"/>
    </xf>
    <xf numFmtId="0" fontId="7" fillId="0" borderId="1" xfId="0" applyFont="1" applyBorder="1" applyAlignment="1">
      <alignment horizontal="center" vertical="top"/>
    </xf>
    <xf numFmtId="0" fontId="2" fillId="0" borderId="0" xfId="0" applyFont="1"/>
    <xf numFmtId="0" fontId="3" fillId="0" borderId="0" xfId="0" applyFont="1" applyAlignment="1">
      <alignment vertical="top" wrapText="1"/>
    </xf>
    <xf numFmtId="165" fontId="0" fillId="0" borderId="1" xfId="0" applyNumberFormat="1" applyBorder="1" applyAlignment="1">
      <alignment horizontal="center" vertical="top"/>
    </xf>
    <xf numFmtId="0" fontId="5" fillId="3" borderId="1" xfId="0" applyFont="1" applyFill="1" applyBorder="1" applyAlignment="1">
      <alignment vertical="center"/>
    </xf>
    <xf numFmtId="0" fontId="6" fillId="0" borderId="0" xfId="0" applyFont="1"/>
    <xf numFmtId="0" fontId="5" fillId="0" borderId="0" xfId="0" applyFont="1"/>
    <xf numFmtId="0" fontId="0" fillId="0" borderId="0" xfId="0" applyAlignment="1">
      <alignment vertical="top" wrapText="1"/>
    </xf>
  </cellXfs>
  <cellStyles count="1">
    <cellStyle name="Normal" xfId="0" builtinId="0"/>
  </cellStyles>
  <dxfs count="4">
    <dxf>
      <font>
        <color rgb="FF0C6B64"/>
        <b/>
      </font>
      <fill>
        <patternFill>
          <bgColor rgb="FFDFEFED"/>
        </patternFill>
      </fill>
    </dxf>
    <dxf>
      <font>
        <color rgb="FF9C1F1F"/>
        <b/>
      </font>
      <fill>
        <patternFill>
          <bgColor rgb="FFFBE3E3"/>
        </patternFill>
      </fill>
    </dxf>
    <dxf>
      <font>
        <color rgb="FF8A5106"/>
        <b/>
      </font>
      <fill>
        <patternFill>
          <bgColor rgb="FFF6EDDC"/>
        </patternFill>
      </fill>
    </dxf>
    <dxf>
      <font>
        <color rgb="FF7B8885"/>
      </font>
    </dxf>
  </d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tabSelected="1" showGridLines="0" workbookViewId="0">
      <pane ySplit="1" topLeftCell="A2" activePane="bottomLeft" state="frozen"/>
      <selection pane="bottomLeft" activeCell="A2" sqref="A2"/>
    </sheetView>
  </sheetViews>
  <sheetFormatPr defaultRowHeight="15"/>
  <cols>
    <col min="1" max="1" width="9" customWidth="1"/>
    <col min="2" max="2" width="22" customWidth="1"/>
    <col min="3" max="3" width="26" customWidth="1"/>
    <col min="4" max="4" width="58" customWidth="1"/>
    <col min="5" max="5" width="66" customWidth="1"/>
    <col min="6" max="6" width="13" customWidth="1"/>
    <col min="7" max="7" width="12" customWidth="1"/>
    <col min="8" max="8" width="14" customWidth="1"/>
    <col min="9" max="9" width="12" customWidth="1"/>
    <col min="10" max="10" width="34" customWidth="1"/>
  </cols>
  <sheetData>
    <row r="1" ht="26" customHeight="1">
      <c r="A1" s="1" t="inlineStr">
        <is>
          <t xml:space="preserve">ID</t>
        </is>
      </c>
      <c r="B1" s="1" t="inlineStr">
        <is>
          <t xml:space="preserve">Area</t>
        </is>
      </c>
      <c r="C1" s="1" t="inlineStr">
        <is>
          <t xml:space="preserve">Section</t>
        </is>
      </c>
      <c r="D1" s="1" t="inlineStr">
        <is>
          <t xml:space="preserve">Check</t>
        </is>
      </c>
      <c r="E1" s="1" t="inlineStr">
        <is>
          <t xml:space="preserve">Expected result</t>
        </is>
      </c>
      <c r="F1" s="1" t="inlineStr">
        <is>
          <t xml:space="preserve">Flag</t>
        </is>
      </c>
      <c r="G1" s="1" t="inlineStr">
        <is>
          <t xml:space="preserve">Status</t>
        </is>
      </c>
      <c r="H1" s="1" t="inlineStr">
        <is>
          <t xml:space="preserve">Tester</t>
        </is>
      </c>
      <c r="I1" s="1" t="inlineStr">
        <is>
          <t xml:space="preserve">Date</t>
        </is>
      </c>
      <c r="J1" s="1" t="inlineStr">
        <is>
          <t xml:space="preserve">Notes / defect</t>
        </is>
      </c>
    </row>
    <row r="2">
      <c r="A2" s="3" t="inlineStr">
        <is>
          <t xml:space="preserve">WS-01</t>
        </is>
      </c>
      <c r="B2" s="2" t="inlineStr">
        <is>
          <t xml:space="preserve">Workspace app</t>
        </is>
      </c>
      <c r="C2" s="2" t="inlineStr">
        <is>
          <t xml:space="preserve">Rail and switching</t>
        </is>
      </c>
      <c r="D2" s="2" t="inlineStr">
        <is>
          <t xml:space="preserve">Switching workspace lands on its apps.</t>
        </is>
      </c>
      <c r="E2" s="2" t="inlineStr">
        <is>
          <t xml:space="preserve">From Settings (or any section but Apps), pick another workspace in the rail. The new workspace's app list opens with no app pre-selected — not the same admin screen under a different subject.</t>
        </is>
      </c>
      <c r="F2" s="4" t="inlineStr">
        <is>
          <t xml:space="preserve">NEW</t>
        </is>
      </c>
      <c r="G2" s="4" t="inlineStr">
        <is>
          <t xml:space="preserve">Not run</t>
        </is>
      </c>
      <c r="H2" s="2"/>
      <c r="I2" s="7"/>
      <c r="J2" s="2"/>
    </row>
    <row r="3">
      <c r="A3" s="3" t="inlineStr">
        <is>
          <t xml:space="preserve">WS-02</t>
        </is>
      </c>
      <c r="B3" s="2" t="inlineStr">
        <is>
          <t xml:space="preserve">Workspace app</t>
        </is>
      </c>
      <c r="C3" s="2" t="inlineStr">
        <is>
          <t xml:space="preserve">Rail and switching</t>
        </is>
      </c>
      <c r="D3" s="2" t="inlineStr">
        <is>
          <t xml:space="preserve">A role without workspaces.view is not dumped on Apps.</t>
        </is>
      </c>
      <c r="E3" s="2" t="inlineStr">
        <is>
          <t xml:space="preserve">As a member whose role cannot open Apps, switch workspace. They stay on the section they were on rather than landing on a page that refuses them.</t>
        </is>
      </c>
      <c r="F3" s="4" t="inlineStr">
        <is>
          <t xml:space="preserve">NEW</t>
        </is>
      </c>
      <c r="G3" s="4" t="inlineStr">
        <is>
          <t xml:space="preserve">Not run</t>
        </is>
      </c>
      <c r="H3" s="2"/>
      <c r="I3" s="7"/>
      <c r="J3" s="2"/>
    </row>
    <row r="4">
      <c r="A4" s="3" t="inlineStr">
        <is>
          <t xml:space="preserve">WS-03</t>
        </is>
      </c>
      <c r="B4" s="2" t="inlineStr">
        <is>
          <t xml:space="preserve">Workspace app</t>
        </is>
      </c>
      <c r="C4" s="2" t="inlineStr">
        <is>
          <t xml:space="preserve">Rail and switching</t>
        </is>
      </c>
      <c r="D4" s="2" t="inlineStr">
        <is>
          <t xml:space="preserve">Rail order drags and persists company-wide.</t>
        </is>
      </c>
      <c r="E4" s="2" t="inlineStr">
        <is>
          <t xml:space="preserve">Drag a workspace up the rail, reload, then check from a second account in the same company. Same order. The default workspace is no longer pinned first and can be moved.</t>
        </is>
      </c>
      <c r="F4" s="4"/>
      <c r="G4" s="4" t="inlineStr">
        <is>
          <t xml:space="preserve">Not run</t>
        </is>
      </c>
      <c r="H4" s="2"/>
      <c r="I4" s="7"/>
      <c r="J4" s="2"/>
    </row>
    <row r="5">
      <c r="A5" s="3" t="inlineStr">
        <is>
          <t xml:space="preserve">WS-04</t>
        </is>
      </c>
      <c r="B5" s="2" t="inlineStr">
        <is>
          <t xml:space="preserve">Workspace app</t>
        </is>
      </c>
      <c r="C5" s="2" t="inlineStr">
        <is>
          <t xml:space="preserve">Rail and switching</t>
        </is>
      </c>
      <c r="D5" s="2" t="inlineStr">
        <is>
          <t xml:space="preserve">Reorder is company-admin only.</t>
        </is>
      </c>
      <c r="E5" s="2" t="inlineStr">
        <is>
          <t xml:space="preserve">A non-admin cannot drag the rail, and the whole order is sent on every move — no partial reconciliation.</t>
        </is>
      </c>
      <c r="F5" s="4"/>
      <c r="G5" s="4" t="inlineStr">
        <is>
          <t xml:space="preserve">Not run</t>
        </is>
      </c>
      <c r="H5" s="2"/>
      <c r="I5" s="7"/>
      <c r="J5" s="2"/>
    </row>
    <row r="6">
      <c r="A6" s="3" t="inlineStr">
        <is>
          <t xml:space="preserve">WS-05</t>
        </is>
      </c>
      <c r="B6" s="2" t="inlineStr">
        <is>
          <t xml:space="preserve">Workspace app</t>
        </is>
      </c>
      <c r="C6" s="2" t="inlineStr">
        <is>
          <t xml:space="preserve">Rail and switching</t>
        </is>
      </c>
      <c r="D6" s="2" t="inlineStr">
        <is>
          <t xml:space="preserve">A stale workspace or company in the URL reconciles before render.</t>
        </is>
      </c>
      <c r="E6" s="2" t="inlineStr">
        <is>
          <t xml:space="preserve">Paste a URL for a workspace you cannot enter. You land on an allowed tenant; the URL and what is on screen agree.</t>
        </is>
      </c>
      <c r="F6" s="4"/>
      <c r="G6" s="4" t="inlineStr">
        <is>
          <t xml:space="preserve">Not run</t>
        </is>
      </c>
      <c r="H6" s="2"/>
      <c r="I6" s="7"/>
      <c r="J6" s="2"/>
    </row>
    <row r="7">
      <c r="A7" s="3" t="inlineStr">
        <is>
          <t xml:space="preserve">WS-06</t>
        </is>
      </c>
      <c r="B7" s="2" t="inlineStr">
        <is>
          <t xml:space="preserve">Workspace app</t>
        </is>
      </c>
      <c r="C7" s="2" t="inlineStr">
        <is>
          <t xml:space="preserve">Workspace home</t>
        </is>
      </c>
      <c r="D7" s="2" t="inlineStr">
        <is>
          <t xml:space="preserve">One of each tile type renders and survives a reload.</t>
        </is>
      </c>
      <c r="E7" s="2" t="inlineStr">
        <is>
          <t xml:space="preserve">Apps, App, Report, Tasks, Members, Calendar, Contacts, Jobs, Text, Image, Links, Clock — all twelve, plus reorder and resize.</t>
        </is>
      </c>
      <c r="F7" s="4"/>
      <c r="G7" s="4" t="inlineStr">
        <is>
          <t xml:space="preserve">Not run</t>
        </is>
      </c>
      <c r="H7" s="2"/>
      <c r="I7" s="7"/>
      <c r="J7" s="2"/>
    </row>
    <row r="8">
      <c r="A8" s="3" t="inlineStr">
        <is>
          <t xml:space="preserve">WS-07</t>
        </is>
      </c>
      <c r="B8" s="2" t="inlineStr">
        <is>
          <t xml:space="preserve">Workspace app</t>
        </is>
      </c>
      <c r="C8" s="2" t="inlineStr">
        <is>
          <t xml:space="preserve">Workspace home</t>
        </is>
      </c>
      <c r="D8" s="2" t="inlineStr">
        <is>
          <t xml:space="preserve">The Jobs tile's parts tick on and off.</t>
        </is>
      </c>
      <c r="E8" s="2" t="inlineStr">
        <is>
          <t xml:space="preserve">Working today, Draws ready, Spent to date, Production health and the draws list. An untouched tile shows the useful default set; ticking everything off gives a blank tile, not a crash.</t>
        </is>
      </c>
      <c r="F8" s="4"/>
      <c r="G8" s="4" t="inlineStr">
        <is>
          <t xml:space="preserve">Not run</t>
        </is>
      </c>
      <c r="H8" s="2"/>
      <c r="I8" s="7"/>
      <c r="J8" s="2"/>
    </row>
    <row r="9">
      <c r="A9" s="3" t="inlineStr">
        <is>
          <t xml:space="preserve">WS-08</t>
        </is>
      </c>
      <c r="B9" s="2" t="inlineStr">
        <is>
          <t xml:space="preserve">Workspace app</t>
        </is>
      </c>
      <c r="C9" s="2" t="inlineStr">
        <is>
          <t xml:space="preserve">Workspace home</t>
        </is>
      </c>
      <c r="D9" s="2" t="inlineStr">
        <is>
          <t xml:space="preserve">A running clock ticks in seconds and steals no focus.</t>
        </is>
      </c>
      <c r="E9" s="2" t="inlineStr">
        <is>
          <t xml:space="preserve">Start a timer, then type into a field on the same page. The rail clock and the Clock tile tick every second; the caret never moves and nothing is re-rendered. 10:38:47 PM fits inside the tile.</t>
        </is>
      </c>
      <c r="F9" s="4" t="inlineStr">
        <is>
          <t xml:space="preserve">REGRESSION</t>
        </is>
      </c>
      <c r="G9" s="4" t="inlineStr">
        <is>
          <t xml:space="preserve">Not run</t>
        </is>
      </c>
      <c r="H9" s="2"/>
      <c r="I9" s="7"/>
      <c r="J9" s="2"/>
    </row>
    <row r="10">
      <c r="A10" s="3" t="inlineStr">
        <is>
          <t xml:space="preserve">WS-09</t>
        </is>
      </c>
      <c r="B10" s="2" t="inlineStr">
        <is>
          <t xml:space="preserve">Workspace app</t>
        </is>
      </c>
      <c r="C10" s="2" t="inlineStr">
        <is>
          <t xml:space="preserve">Workspace home</t>
        </is>
      </c>
      <c r="D10" s="2" t="inlineStr">
        <is>
          <t xml:space="preserve">The activity feed and the tile column scroll separately above 900px.</t>
        </is>
      </c>
      <c r="E10" s="2" t="inlineStr">
        <is>
          <t xml:space="preserve">Each column has its own scrollbar and equal height. Reaching the end of the tiles does not mean scrolling past the whole feed, and neither column grows a horizontal bar.</t>
        </is>
      </c>
      <c r="F10" s="4" t="inlineStr">
        <is>
          <t xml:space="preserve">REGRESSION</t>
        </is>
      </c>
      <c r="G10" s="4" t="inlineStr">
        <is>
          <t xml:space="preserve">Not run</t>
        </is>
      </c>
      <c r="H10" s="2"/>
      <c r="I10" s="7"/>
      <c r="J10" s="2"/>
    </row>
    <row r="11">
      <c r="A11" s="3" t="inlineStr">
        <is>
          <t xml:space="preserve">WS-10</t>
        </is>
      </c>
      <c r="B11" s="2" t="inlineStr">
        <is>
          <t xml:space="preserve">Workspace app</t>
        </is>
      </c>
      <c r="C11" s="2" t="inlineStr">
        <is>
          <t xml:space="preserve">Workspace home</t>
        </is>
      </c>
      <c r="D11" s="2" t="inlineStr">
        <is>
          <t xml:space="preserve">Below 900px they stack and the page takes its scroll back.</t>
        </is>
      </c>
      <c r="E11" s="2" t="inlineStr">
        <is>
          <t xml:space="preserve">One scrollport on a phone. No nested scrolling trap.</t>
        </is>
      </c>
      <c r="F11" s="4"/>
      <c r="G11" s="4" t="inlineStr">
        <is>
          <t xml:space="preserve">Not run</t>
        </is>
      </c>
      <c r="H11" s="2"/>
      <c r="I11" s="7"/>
      <c r="J11" s="2"/>
    </row>
    <row r="12">
      <c r="A12" s="3" t="inlineStr">
        <is>
          <t xml:space="preserve">WS-11</t>
        </is>
      </c>
      <c r="B12" s="2" t="inlineStr">
        <is>
          <t xml:space="preserve">Workspace app</t>
        </is>
      </c>
      <c r="C12" s="2" t="inlineStr">
        <is>
          <t xml:space="preserve">Workspace home</t>
        </is>
      </c>
      <c r="D12" s="2" t="inlineStr">
        <is>
          <t xml:space="preserve">Clearing the activity log leaves a trace.</t>
        </is>
      </c>
      <c r="E12" s="2" t="inlineStr">
        <is>
          <t xml:space="preserve">One entry survives naming who cleared it and how many went. Feed posts, company audit events and per-record history are all untouched.</t>
        </is>
      </c>
      <c r="F12" s="4"/>
      <c r="G12" s="4" t="inlineStr">
        <is>
          <t xml:space="preserve">Not run</t>
        </is>
      </c>
      <c r="H12" s="2"/>
      <c r="I12" s="7"/>
      <c r="J12" s="2"/>
    </row>
    <row r="13">
      <c r="A13" s="3" t="inlineStr">
        <is>
          <t xml:space="preserve">WS-12</t>
        </is>
      </c>
      <c r="B13" s="2" t="inlineStr">
        <is>
          <t xml:space="preserve">Workspace app</t>
        </is>
      </c>
      <c r="C13" s="2" t="inlineStr">
        <is>
          <t xml:space="preserve">App shell and tabs</t>
        </is>
      </c>
      <c r="D13" s="2" t="inlineStr">
        <is>
          <t xml:space="preserve">The tab strip stays put while the app list scrolls under it.</t>
        </is>
      </c>
      <c r="E13" s="2" t="inlineStr">
        <is>
          <t xml:space="preserve">Open an app with more records than fit. The strip is sticky against the top of the surface, the list scrolls inside itself with overscroll contained, and the strip sits below menus rather than over them.</t>
        </is>
      </c>
      <c r="F13" s="4" t="inlineStr">
        <is>
          <t xml:space="preserve">NEW</t>
        </is>
      </c>
      <c r="G13" s="4" t="inlineStr">
        <is>
          <t xml:space="preserve">Not run</t>
        </is>
      </c>
      <c r="H13" s="2"/>
      <c r="I13" s="7"/>
      <c r="J13" s="2"/>
    </row>
    <row r="14">
      <c r="A14" s="3" t="inlineStr">
        <is>
          <t xml:space="preserve">WS-13</t>
        </is>
      </c>
      <c r="B14" s="2" t="inlineStr">
        <is>
          <t xml:space="preserve">Workspace app</t>
        </is>
      </c>
      <c r="C14" s="2" t="inlineStr">
        <is>
          <t xml:space="preserve">App shell and tabs</t>
        </is>
      </c>
      <c r="D14" s="2" t="inlineStr">
        <is>
          <t xml:space="preserve">App tiles in the topbar wrap between words only.</t>
        </is>
      </c>
      <c r="E14" s="2" t="inlineStr">
        <is>
          <t xml:space="preserve">"Underwriter" does not break as "Underwrite / r". A name too long for two lines is clipped with an ellipsis, not cut mid-word.</t>
        </is>
      </c>
      <c r="F14" s="4" t="inlineStr">
        <is>
          <t xml:space="preserve">REGRESSION</t>
        </is>
      </c>
      <c r="G14" s="4" t="inlineStr">
        <is>
          <t xml:space="preserve">Not run</t>
        </is>
      </c>
      <c r="H14" s="2"/>
      <c r="I14" s="7"/>
      <c r="J14" s="2"/>
    </row>
    <row r="15">
      <c r="A15" s="3" t="inlineStr">
        <is>
          <t xml:space="preserve">WS-14</t>
        </is>
      </c>
      <c r="B15" s="2" t="inlineStr">
        <is>
          <t xml:space="preserve">Workspace app</t>
        </is>
      </c>
      <c r="C15" s="2" t="inlineStr">
        <is>
          <t xml:space="preserve">App shell and tabs</t>
        </is>
      </c>
      <c r="D15" s="2" t="inlineStr">
        <is>
          <t xml:space="preserve">Per-app tab visibility.</t>
        </is>
      </c>
      <c r="E15" s="2" t="inlineStr">
        <is>
          <t xml:space="preserve">Turn Reports off in the app's Settings — it leaves the strip, and a bookmarked ?tab=reports falls through to a tab that does exist.</t>
        </is>
      </c>
      <c r="F15" s="4"/>
      <c r="G15" s="4" t="inlineStr">
        <is>
          <t xml:space="preserve">Not run</t>
        </is>
      </c>
      <c r="H15" s="2"/>
      <c r="I15" s="7"/>
      <c r="J15" s="2"/>
    </row>
    <row r="16">
      <c r="A16" s="3" t="inlineStr">
        <is>
          <t xml:space="preserve">WS-15</t>
        </is>
      </c>
      <c r="B16" s="2" t="inlineStr">
        <is>
          <t xml:space="preserve">Workspace app</t>
        </is>
      </c>
      <c r="C16" s="2" t="inlineStr">
        <is>
          <t xml:space="preserve">App shell and tabs</t>
        </is>
      </c>
      <c r="D16" s="2" t="inlineStr">
        <is>
          <t xml:space="preserve">All five item layouts render.</t>
        </is>
      </c>
      <c r="E16" s="2" t="inlineStr">
        <is>
          <t xml:space="preserve">Table, Cards, Board, Badges, Activity. A record's card is identical in Cards and on the Board.</t>
        </is>
      </c>
      <c r="F16" s="4"/>
      <c r="G16" s="4" t="inlineStr">
        <is>
          <t xml:space="preserve">Not run</t>
        </is>
      </c>
      <c r="H16" s="2"/>
      <c r="I16" s="7"/>
      <c r="J16" s="2"/>
    </row>
    <row r="17">
      <c r="A17" s="3" t="inlineStr">
        <is>
          <t xml:space="preserve">WS-16</t>
        </is>
      </c>
      <c r="B17" s="2" t="inlineStr">
        <is>
          <t xml:space="preserve">Workspace app</t>
        </is>
      </c>
      <c r="C17" s="2" t="inlineStr">
        <is>
          <t xml:space="preserve">App shell and tabs</t>
        </is>
      </c>
      <c r="D17" s="2" t="inlineStr">
        <is>
          <t xml:space="preserve">Dragging a card between board columns writes the status field.</t>
        </is>
      </c>
      <c r="E17" s="2" t="inlineStr">
        <is>
          <t xml:space="preserve">The column count, the saved-view count and the stage card all agree afterwards — they are one function.</t>
        </is>
      </c>
      <c r="F17" s="4"/>
      <c r="G17" s="4" t="inlineStr">
        <is>
          <t xml:space="preserve">Not run</t>
        </is>
      </c>
      <c r="H17" s="2"/>
      <c r="I17" s="7"/>
      <c r="J17" s="2"/>
    </row>
    <row r="18">
      <c r="A18" s="3" t="inlineStr">
        <is>
          <t xml:space="preserve">WS-17</t>
        </is>
      </c>
      <c r="B18" s="2" t="inlineStr">
        <is>
          <t xml:space="preserve">Workspace app</t>
        </is>
      </c>
      <c r="C18" s="2" t="inlineStr">
        <is>
          <t xml:space="preserve">App shell and tabs</t>
        </is>
      </c>
      <c r="D18" s="2" t="inlineStr">
        <is>
          <t xml:space="preserve">Every stage the rail offers is clickable.</t>
        </is>
      </c>
      <c r="E18" s="2" t="inlineStr">
        <is>
          <t xml:space="preserve">Click each stage in turn on a Deals and a Jobs record. None silently snaps back to the first stage; an unrecognised stage is kept and shown, not rewritten.</t>
        </is>
      </c>
      <c r="F18" s="4" t="inlineStr">
        <is>
          <t xml:space="preserve">REGRESSION</t>
        </is>
      </c>
      <c r="G18" s="4" t="inlineStr">
        <is>
          <t xml:space="preserve">Not run</t>
        </is>
      </c>
      <c r="H18" s="2"/>
      <c r="I18" s="7"/>
      <c r="J18" s="2"/>
    </row>
    <row r="19">
      <c r="A19" s="3" t="inlineStr">
        <is>
          <t xml:space="preserve">WS-18</t>
        </is>
      </c>
      <c r="B19" s="2" t="inlineStr">
        <is>
          <t xml:space="preserve">Workspace app</t>
        </is>
      </c>
      <c r="C19" s="2" t="inlineStr">
        <is>
          <t xml:space="preserve">App shell and tabs</t>
        </is>
      </c>
      <c r="D19" s="2" t="inlineStr">
        <is>
          <t xml:space="preserve">Default sort is newest first.</t>
        </is>
      </c>
      <c r="E19" s="2" t="inlineStr">
        <is>
          <t xml:space="preserve">A record with no created stamp orders by its updated stamp instead of sinking to the bottom.</t>
        </is>
      </c>
      <c r="F19" s="4"/>
      <c r="G19" s="4" t="inlineStr">
        <is>
          <t xml:space="preserve">Not run</t>
        </is>
      </c>
      <c r="H19" s="2"/>
      <c r="I19" s="7"/>
      <c r="J19" s="2"/>
    </row>
    <row r="20">
      <c r="A20" s="3" t="inlineStr">
        <is>
          <t xml:space="preserve">WS-19</t>
        </is>
      </c>
      <c r="B20" s="2" t="inlineStr">
        <is>
          <t xml:space="preserve">Workspace app</t>
        </is>
      </c>
      <c r="C20" s="2" t="inlineStr">
        <is>
          <t xml:space="preserve">App shell and tabs</t>
        </is>
      </c>
      <c r="D20" s="2" t="inlineStr">
        <is>
          <t xml:space="preserve">Stage nav and chip filters combine, and counts survive filtering.</t>
        </is>
      </c>
      <c r="E20" s="2"/>
      <c r="F20" s="4"/>
      <c r="G20" s="4" t="inlineStr">
        <is>
          <t xml:space="preserve">Not run</t>
        </is>
      </c>
      <c r="H20" s="2"/>
      <c r="I20" s="7"/>
      <c r="J20" s="2"/>
    </row>
    <row r="21">
      <c r="A21" s="3" t="inlineStr">
        <is>
          <t xml:space="preserve">WS-20</t>
        </is>
      </c>
      <c r="B21" s="2" t="inlineStr">
        <is>
          <t xml:space="preserve">Workspace app</t>
        </is>
      </c>
      <c r="C21" s="2" t="inlineStr">
        <is>
          <t xml:space="preserve">App shell and tabs</t>
        </is>
      </c>
      <c r="D21" s="2" t="inlineStr">
        <is>
          <t xml:space="preserve">Saved views: team versus private.</t>
        </is>
      </c>
      <c r="E21" s="2" t="inlineStr">
        <is>
          <t xml:space="preserve">A team view appears for a second account; a private view does not, and is gone in a different browser. Only status and category fields are offered as the split.</t>
        </is>
      </c>
      <c r="F21" s="4"/>
      <c r="G21" s="4" t="inlineStr">
        <is>
          <t xml:space="preserve">Not run</t>
        </is>
      </c>
      <c r="H21" s="2"/>
      <c r="I21" s="7"/>
      <c r="J21" s="2"/>
    </row>
    <row r="22">
      <c r="A22" s="3" t="inlineStr">
        <is>
          <t xml:space="preserve">WS-21</t>
        </is>
      </c>
      <c r="B22" s="2" t="inlineStr">
        <is>
          <t xml:space="preserve">Workspace app</t>
        </is>
      </c>
      <c r="C22" s="2" t="inlineStr">
        <is>
          <t xml:space="preserve">App shell and tabs</t>
        </is>
      </c>
      <c r="D22" s="2" t="inlineStr">
        <is>
          <t xml:space="preserve">Calendar month, week and day — including sub-item dates.</t>
        </is>
      </c>
      <c r="E22" s="2" t="inlineStr">
        <is>
          <t xml:space="preserve">An app whose dates live on its Dailies puts them on the calendar as "Dailies · Date", and clicking one opens the parent record.</t>
        </is>
      </c>
      <c r="F22" s="4"/>
      <c r="G22" s="4" t="inlineStr">
        <is>
          <t xml:space="preserve">Not run</t>
        </is>
      </c>
      <c r="H22" s="2"/>
      <c r="I22" s="7"/>
      <c r="J22" s="2"/>
    </row>
    <row r="23">
      <c r="A23" s="3" t="inlineStr">
        <is>
          <t xml:space="preserve">WS-22</t>
        </is>
      </c>
      <c r="B23" s="2" t="inlineStr">
        <is>
          <t xml:space="preserve">Workspace app</t>
        </is>
      </c>
      <c r="C23" s="2" t="inlineStr">
        <is>
          <t xml:space="preserve">App shell and tabs</t>
        </is>
      </c>
      <c r="D23" s="2" t="inlineStr">
        <is>
          <t xml:space="preserve">Reports tab and its print view show the same figures.</t>
        </is>
      </c>
      <c r="E23" s="2" t="inlineStr">
        <is>
          <t xml:space="preserve">KPI tiles, donut, bar and sparkline. Print opens in the same click, not blocked as a pop-up.</t>
        </is>
      </c>
      <c r="F23" s="4"/>
      <c r="G23" s="4" t="inlineStr">
        <is>
          <t xml:space="preserve">Not run</t>
        </is>
      </c>
      <c r="H23" s="2"/>
      <c r="I23" s="7"/>
      <c r="J23" s="2"/>
    </row>
    <row r="24">
      <c r="A24" s="3" t="inlineStr">
        <is>
          <t xml:space="preserve">WS-23</t>
        </is>
      </c>
      <c r="B24" s="2" t="inlineStr">
        <is>
          <t xml:space="preserve">Workspace app</t>
        </is>
      </c>
      <c r="C24" s="2" t="inlineStr">
        <is>
          <t xml:space="preserve">Records and live state</t>
        </is>
      </c>
      <c r="D24" s="2" t="inlineStr">
        <is>
          <t xml:space="preserve">A long record panel scrolls inside itself.</t>
        </is>
      </c>
      <c r="E24" s="2" t="inlineStr">
        <is>
          <t xml:space="preserve">Open a record with a long Activity and Comments thread. The panel caps at the viewport, the header stays put, and one scrollbar governs the conversation — not two.</t>
        </is>
      </c>
      <c r="F24" s="4" t="inlineStr">
        <is>
          <t xml:space="preserve">NEW</t>
        </is>
      </c>
      <c r="G24" s="4" t="inlineStr">
        <is>
          <t xml:space="preserve">Not run</t>
        </is>
      </c>
      <c r="H24" s="2"/>
      <c r="I24" s="7"/>
      <c r="J24" s="2"/>
    </row>
    <row r="25">
      <c r="A25" s="3" t="inlineStr">
        <is>
          <t xml:space="preserve">WS-24</t>
        </is>
      </c>
      <c r="B25" s="2" t="inlineStr">
        <is>
          <t xml:space="preserve">Workspace app</t>
        </is>
      </c>
      <c r="C25" s="2" t="inlineStr">
        <is>
          <t xml:space="preserve">Records and live state</t>
        </is>
      </c>
      <c r="D25" s="2" t="inlineStr">
        <is>
          <t xml:space="preserve">Below 900px the record panels scroll with the page again.</t>
        </is>
      </c>
      <c r="E25" s="2"/>
      <c r="F25" s="4" t="inlineStr">
        <is>
          <t xml:space="preserve">NEW</t>
        </is>
      </c>
      <c r="G25" s="4" t="inlineStr">
        <is>
          <t xml:space="preserve">Not run</t>
        </is>
      </c>
      <c r="H25" s="2"/>
      <c r="I25" s="7"/>
      <c r="J25" s="2"/>
    </row>
    <row r="26">
      <c r="A26" s="3" t="inlineStr">
        <is>
          <t xml:space="preserve">WS-25</t>
        </is>
      </c>
      <c r="B26" s="2" t="inlineStr">
        <is>
          <t xml:space="preserve">Workspace app</t>
        </is>
      </c>
      <c r="C26" s="2" t="inlineStr">
        <is>
          <t xml:space="preserve">Records and live state</t>
        </is>
      </c>
      <c r="D26" s="2" t="inlineStr">
        <is>
          <t xml:space="preserve">Activity and Comments are two different things.</t>
        </is>
      </c>
      <c r="E26" s="2" t="inlineStr">
        <is>
          <t xml:space="preserve">Activity shows created, field changes, checklist ticks, sheet edits, automation runs and the latest comments. Comments shows comments only.</t>
        </is>
      </c>
      <c r="F26" s="4"/>
      <c r="G26" s="4" t="inlineStr">
        <is>
          <t xml:space="preserve">Not run</t>
        </is>
      </c>
      <c r="H26" s="2"/>
      <c r="I26" s="7"/>
      <c r="J26" s="2"/>
    </row>
    <row r="27">
      <c r="A27" s="3" t="inlineStr">
        <is>
          <t xml:space="preserve">WS-26</t>
        </is>
      </c>
      <c r="B27" s="2" t="inlineStr">
        <is>
          <t xml:space="preserve">Workspace app</t>
        </is>
      </c>
      <c r="C27" s="2" t="inlineStr">
        <is>
          <t xml:space="preserve">Records and live state</t>
        </is>
      </c>
      <c r="D27" s="2" t="inlineStr">
        <is>
          <t xml:space="preserve">A mention notifies the person named, and the sound plays once.</t>
        </is>
      </c>
      <c r="E27" s="2"/>
      <c r="F27" s="4"/>
      <c r="G27" s="4" t="inlineStr">
        <is>
          <t xml:space="preserve">Not run</t>
        </is>
      </c>
      <c r="H27" s="2"/>
      <c r="I27" s="7"/>
      <c r="J27" s="2"/>
    </row>
    <row r="28">
      <c r="A28" s="3" t="inlineStr">
        <is>
          <t xml:space="preserve">WS-27</t>
        </is>
      </c>
      <c r="B28" s="2" t="inlineStr">
        <is>
          <t xml:space="preserve">Workspace app</t>
        </is>
      </c>
      <c r="C28" s="2" t="inlineStr">
        <is>
          <t xml:space="preserve">Records and live state</t>
        </is>
      </c>
      <c r="D28" s="2" t="inlineStr">
        <is>
          <t xml:space="preserve">A presence change never repaints over somebody typing.</t>
        </is>
      </c>
      <c r="E28" s="2" t="inlineStr">
        <is>
          <t xml:space="preserve">Type into a record while a second account signs in. Nothing is re-rendered and no keystroke is lost; the online ring appears about a second and a half after you stop.</t>
        </is>
      </c>
      <c r="F28" s="4" t="inlineStr">
        <is>
          <t xml:space="preserve">NEW</t>
        </is>
      </c>
      <c r="G28" s="4" t="inlineStr">
        <is>
          <t xml:space="preserve">Not run</t>
        </is>
      </c>
      <c r="H28" s="2"/>
      <c r="I28" s="7"/>
      <c r="J28" s="2"/>
    </row>
    <row r="29">
      <c r="A29" s="3" t="inlineStr">
        <is>
          <t xml:space="preserve">WS-28</t>
        </is>
      </c>
      <c r="B29" s="2" t="inlineStr">
        <is>
          <t xml:space="preserve">Workspace app</t>
        </is>
      </c>
      <c r="C29" s="2" t="inlineStr">
        <is>
          <t xml:space="preserve">Records and live state</t>
        </is>
      </c>
      <c r="D29" s="2" t="inlineStr">
        <is>
          <t xml:space="preserve">Recycle bin: delete, restore, purge.</t>
        </is>
      </c>
      <c r="E29" s="2" t="inlineStr">
        <is>
          <t xml:space="preserve">A deleted record lands in Trash stamped with who and when, restores with every value intact, and purge is final. Records older than 30 days are the ones offered for clearing.</t>
        </is>
      </c>
      <c r="F29" s="4"/>
      <c r="G29" s="4" t="inlineStr">
        <is>
          <t xml:space="preserve">Not run</t>
        </is>
      </c>
      <c r="H29" s="2"/>
      <c r="I29" s="7"/>
      <c r="J29" s="2"/>
    </row>
    <row r="30">
      <c r="A30" s="3" t="inlineStr">
        <is>
          <t xml:space="preserve">WS-29</t>
        </is>
      </c>
      <c r="B30" s="2" t="inlineStr">
        <is>
          <t xml:space="preserve">Workspace app</t>
        </is>
      </c>
      <c r="C30" s="2" t="inlineStr">
        <is>
          <t xml:space="preserve">Records and live state</t>
        </is>
      </c>
      <c r="D30" s="2" t="inlineStr">
        <is>
          <t xml:space="preserve">CSV export and import round-trip.</t>
        </is>
      </c>
      <c r="E30" s="2" t="inlineStr">
        <is>
          <t xml:space="preserve">Quoted commas, quotes and newlines survive; an empty column stays a column; option labels export as labels, not ids.</t>
        </is>
      </c>
      <c r="F30" s="4"/>
      <c r="G30" s="4" t="inlineStr">
        <is>
          <t xml:space="preserve">Not run</t>
        </is>
      </c>
      <c r="H30" s="2"/>
      <c r="I30" s="7"/>
      <c r="J30" s="2"/>
    </row>
    <row r="31">
      <c r="A31" s="3" t="inlineStr">
        <is>
          <t xml:space="preserve">WS-30</t>
        </is>
      </c>
      <c r="B31" s="2" t="inlineStr">
        <is>
          <t xml:space="preserve">Workspace app</t>
        </is>
      </c>
      <c r="C31" s="2" t="inlineStr">
        <is>
          <t xml:space="preserve">Records and live state</t>
        </is>
      </c>
      <c r="D31" s="2" t="inlineStr">
        <is>
          <t xml:space="preserve">Download an app and install it into another workspace.</t>
        </is>
      </c>
      <c r="E31" s="2" t="inlineStr">
        <is>
          <t xml:space="preserve">Field ids are reminted, and the record layout, card fields, sub-item lists, dashboard and saved views all still point at real fields — not an empty card.</t>
        </is>
      </c>
      <c r="F31" s="4"/>
      <c r="G31" s="4" t="inlineStr">
        <is>
          <t xml:space="preserve">Not run</t>
        </is>
      </c>
      <c r="H31" s="2"/>
      <c r="I31" s="7"/>
      <c r="J31" s="2"/>
    </row>
    <row r="32">
      <c r="A32" s="3" t="inlineStr">
        <is>
          <t xml:space="preserve">AB-01</t>
        </is>
      </c>
      <c r="B32" s="2" t="inlineStr">
        <is>
          <t xml:space="preserve">Workspace App Builder</t>
        </is>
      </c>
      <c r="C32" s="2" t="inlineStr">
        <is>
          <t xml:space="preserve">The app and its field list</t>
        </is>
      </c>
      <c r="D32" s="2" t="inlineStr">
        <is>
          <t xml:space="preserve">Create an app: name, icon, colour.</t>
        </is>
      </c>
      <c r="E32" s="2" t="inlineStr">
        <is>
          <t xml:space="preserve">A custom colour is accepted only as a CSS hex; an imported app carrying anything else is constrained before it reaches a style attribute.</t>
        </is>
      </c>
      <c r="F32" s="4"/>
      <c r="G32" s="4" t="inlineStr">
        <is>
          <t xml:space="preserve">Not run</t>
        </is>
      </c>
      <c r="H32" s="2"/>
      <c r="I32" s="7"/>
      <c r="J32" s="2"/>
    </row>
    <row r="33">
      <c r="A33" s="3" t="inlineStr">
        <is>
          <t xml:space="preserve">AB-02</t>
        </is>
      </c>
      <c r="B33" s="2" t="inlineStr">
        <is>
          <t xml:space="preserve">Workspace App Builder</t>
        </is>
      </c>
      <c r="C33" s="2" t="inlineStr">
        <is>
          <t xml:space="preserve">The app and its field list</t>
        </is>
      </c>
      <c r="D33" s="2" t="inlineStr">
        <is>
          <t xml:space="preserve">The palette search filters the type list.</t>
        </is>
      </c>
      <c r="E33" s="2" t="inlineStr">
        <is>
          <t xml:space="preserve">Type "but" into Search field types: only Button is left, and the search box itself stays on screen — it sits in the palette head, outside what is being filtered.</t>
        </is>
      </c>
      <c r="F33" s="4" t="inlineStr">
        <is>
          <t xml:space="preserve">NEW</t>
        </is>
      </c>
      <c r="G33" s="4" t="inlineStr">
        <is>
          <t xml:space="preserve">Not run</t>
        </is>
      </c>
      <c r="H33" s="2"/>
      <c r="I33" s="7"/>
      <c r="J33" s="2"/>
    </row>
    <row r="34">
      <c r="A34" s="3" t="inlineStr">
        <is>
          <t xml:space="preserve">AB-03</t>
        </is>
      </c>
      <c r="B34" s="2" t="inlineStr">
        <is>
          <t xml:space="preserve">Workspace App Builder</t>
        </is>
      </c>
      <c r="C34" s="2" t="inlineStr">
        <is>
          <t xml:space="preserve">The app and its field list</t>
        </is>
      </c>
      <c r="D34" s="2" t="inlineStr">
        <is>
          <t xml:space="preserve">Dragging a type from the palette onto the empty field list adds it.</t>
        </is>
      </c>
      <c r="E34" s="2" t="inlineStr">
        <is>
          <t xml:space="preserve">Not only onto an existing row. Both drop targets work in an app and in the Company Contacts editor.</t>
        </is>
      </c>
      <c r="F34" s="4" t="inlineStr">
        <is>
          <t xml:space="preserve">REGRESSION</t>
        </is>
      </c>
      <c r="G34" s="4" t="inlineStr">
        <is>
          <t xml:space="preserve">Not run</t>
        </is>
      </c>
      <c r="H34" s="2"/>
      <c r="I34" s="7"/>
      <c r="J34" s="2"/>
    </row>
    <row r="35">
      <c r="A35" s="3" t="inlineStr">
        <is>
          <t xml:space="preserve">AB-04</t>
        </is>
      </c>
      <c r="B35" s="2" t="inlineStr">
        <is>
          <t xml:space="preserve">Workspace App Builder</t>
        </is>
      </c>
      <c r="C35" s="2" t="inlineStr">
        <is>
          <t xml:space="preserve">The app and its field list</t>
        </is>
      </c>
      <c r="D35" s="2" t="inlineStr">
        <is>
          <t xml:space="preserve">Drag-to-reorder renumbers from what is on screen.</t>
        </is>
      </c>
      <c r="E35" s="2"/>
      <c r="F35" s="4"/>
      <c r="G35" s="4" t="inlineStr">
        <is>
          <t xml:space="preserve">Not run</t>
        </is>
      </c>
      <c r="H35" s="2"/>
      <c r="I35" s="7"/>
      <c r="J35" s="2"/>
    </row>
    <row r="36">
      <c r="A36" s="3" t="inlineStr">
        <is>
          <t xml:space="preserve">AB-05</t>
        </is>
      </c>
      <c r="B36" s="2" t="inlineStr">
        <is>
          <t xml:space="preserve">Workspace App Builder</t>
        </is>
      </c>
      <c r="C36" s="2" t="inlineStr">
        <is>
          <t xml:space="preserve">The app and its field list</t>
        </is>
      </c>
      <c r="D36" s="2" t="inlineStr">
        <is>
          <t xml:space="preserve">The eye hides a field from the items table only.</t>
        </is>
      </c>
      <c r="E36" s="2" t="inlineStr">
        <is>
          <t xml:space="preserve">Still on the record, still on the form, still stored.</t>
        </is>
      </c>
      <c r="F36" s="4"/>
      <c r="G36" s="4" t="inlineStr">
        <is>
          <t xml:space="preserve">Not run</t>
        </is>
      </c>
      <c r="H36" s="2"/>
      <c r="I36" s="7"/>
      <c r="J36" s="2"/>
    </row>
    <row r="37">
      <c r="A37" s="3" t="inlineStr">
        <is>
          <t xml:space="preserve">AB-06</t>
        </is>
      </c>
      <c r="B37" s="2" t="inlineStr">
        <is>
          <t xml:space="preserve">Workspace App Builder</t>
        </is>
      </c>
      <c r="C37" s="2" t="inlineStr">
        <is>
          <t xml:space="preserve">The app and its field list</t>
        </is>
      </c>
      <c r="D37" s="2" t="inlineStr">
        <is>
          <t xml:space="preserve">Deleting a field warns first, and a new field of the same name does not inherit the old values.</t>
        </is>
      </c>
      <c r="E37" s="2"/>
      <c r="F37" s="4"/>
      <c r="G37" s="4" t="inlineStr">
        <is>
          <t xml:space="preserve">Not run</t>
        </is>
      </c>
      <c r="H37" s="2"/>
      <c r="I37" s="7"/>
      <c r="J37" s="2"/>
    </row>
    <row r="38">
      <c r="A38" s="3" t="inlineStr">
        <is>
          <t xml:space="preserve">AB-07</t>
        </is>
      </c>
      <c r="B38" s="2" t="inlineStr">
        <is>
          <t xml:space="preserve">Workspace App Builder</t>
        </is>
      </c>
      <c r="C38" s="2" t="inlineStr">
        <is>
          <t xml:space="preserve">The app and its field list</t>
        </is>
      </c>
      <c r="D38" s="2" t="inlineStr">
        <is>
          <t xml:space="preserve">Without workspaces.manage there is no palette and no row actions.</t>
        </is>
      </c>
      <c r="E38" s="2" t="inlineStr">
        <is>
          <t xml:space="preserve">The Fields tab is readable, not editable. Verify as a Member, not as an Owner — an Owner holds every permission by rank and cannot see this.</t>
        </is>
      </c>
      <c r="F38" s="4"/>
      <c r="G38" s="4" t="inlineStr">
        <is>
          <t xml:space="preserve">Not run</t>
        </is>
      </c>
      <c r="H38" s="2"/>
      <c r="I38" s="7"/>
      <c r="J38" s="2"/>
    </row>
    <row r="39">
      <c r="A39" s="3" t="inlineStr">
        <is>
          <t xml:space="preserve">AB-08</t>
        </is>
      </c>
      <c r="B39" s="2" t="inlineStr">
        <is>
          <t xml:space="preserve">Workspace App Builder</t>
        </is>
      </c>
      <c r="C39" s="2" t="inlineStr">
        <is>
          <t xml:space="preserve">The app and its field list</t>
        </is>
      </c>
      <c r="D39" s="2" t="inlineStr">
        <is>
          <t xml:space="preserve">Record wording follows the app name.</t>
        </is>
      </c>
      <c r="E39" s="2" t="inlineStr">
        <is>
          <t xml:space="preserve">"Add job", not "Add item". Companies → Company, Properties → Property; a name the singulariser cannot handle is left whole rather than guessed at.</t>
        </is>
      </c>
      <c r="F39" s="4"/>
      <c r="G39" s="4" t="inlineStr">
        <is>
          <t xml:space="preserve">Not run</t>
        </is>
      </c>
      <c r="H39" s="2"/>
      <c r="I39" s="7"/>
      <c r="J39" s="2"/>
    </row>
    <row r="40">
      <c r="A40" s="3" t="inlineStr">
        <is>
          <t xml:space="preserve">AB-09</t>
        </is>
      </c>
      <c r="B40" s="2" t="inlineStr">
        <is>
          <t xml:space="preserve">Workspace App Builder</t>
        </is>
      </c>
      <c r="C40" s="2" t="inlineStr">
        <is>
          <t xml:space="preserve">Sub-item lists, automations, dashboard</t>
        </is>
      </c>
      <c r="D40" s="2" t="inlineStr">
        <is>
          <t xml:space="preserve">A sub-item list holds records inside a record.</t>
        </is>
      </c>
      <c r="E40" s="2" t="inlineStr">
        <is>
          <t xml:space="preserve">Add "Dailies" with its own fields and its own singular label; add several to one record; they survive a reload and appear on the calendar.</t>
        </is>
      </c>
      <c r="F40" s="4"/>
      <c r="G40" s="4" t="inlineStr">
        <is>
          <t xml:space="preserve">Not run</t>
        </is>
      </c>
      <c r="H40" s="2"/>
      <c r="I40" s="7"/>
      <c r="J40" s="2"/>
    </row>
    <row r="41">
      <c r="A41" s="3" t="inlineStr">
        <is>
          <t xml:space="preserve">AB-10</t>
        </is>
      </c>
      <c r="B41" s="2" t="inlineStr">
        <is>
          <t xml:space="preserve">Workspace App Builder</t>
        </is>
      </c>
      <c r="C41" s="2" t="inlineStr">
        <is>
          <t xml:space="preserve">Sub-item lists, automations, dashboard</t>
        </is>
      </c>
      <c r="D41" s="2" t="inlineStr">
        <is>
          <t xml:space="preserve">A calculation field cannot live inside a sub-item list.</t>
        </is>
      </c>
      <c r="E41" s="2" t="inlineStr">
        <is>
          <t xml:space="preserve">The palette refuses it and an imported app carrying one is rejected — a sub-item formula resolves against the app's fields, so it would silently read zero.</t>
        </is>
      </c>
      <c r="F41" s="4"/>
      <c r="G41" s="4" t="inlineStr">
        <is>
          <t xml:space="preserve">Not run</t>
        </is>
      </c>
      <c r="H41" s="2"/>
      <c r="I41" s="7"/>
      <c r="J41" s="2"/>
    </row>
    <row r="42">
      <c r="A42" s="3" t="inlineStr">
        <is>
          <t xml:space="preserve">AB-11</t>
        </is>
      </c>
      <c r="B42" s="2" t="inlineStr">
        <is>
          <t xml:space="preserve">Workspace App Builder</t>
        </is>
      </c>
      <c r="C42" s="2" t="inlineStr">
        <is>
          <t xml:space="preserve">Sub-item lists, automations, dashboard</t>
        </is>
      </c>
      <c r="D42" s="2" t="inlineStr">
        <is>
          <t xml:space="preserve">Sub-item fields render with the collection's own formatter.</t>
        </is>
      </c>
      <c r="E42" s="2" t="inlineStr">
        <is>
          <t xml:space="preserve">A User field in a daily shows the member's name, not a UUID.</t>
        </is>
      </c>
      <c r="F42" s="4"/>
      <c r="G42" s="4" t="inlineStr">
        <is>
          <t xml:space="preserve">Not run</t>
        </is>
      </c>
      <c r="H42" s="2"/>
      <c r="I42" s="7"/>
      <c r="J42" s="2"/>
    </row>
    <row r="43">
      <c r="A43" s="3" t="inlineStr">
        <is>
          <t xml:space="preserve">AB-12</t>
        </is>
      </c>
      <c r="B43" s="2" t="inlineStr">
        <is>
          <t xml:space="preserve">Workspace App Builder</t>
        </is>
      </c>
      <c r="C43" s="2" t="inlineStr">
        <is>
          <t xml:space="preserve">Sub-item lists, automations, dashboard</t>
        </is>
      </c>
      <c r="D43" s="2" t="inlineStr">
        <is>
          <t xml:space="preserve">An automation fires and is logged as one.</t>
        </is>
      </c>
      <c r="E43" s="2" t="inlineStr">
        <is>
          <t xml:space="preserve">Build a rule on a status change; check all six numeric operators (=, ≠, &gt;, &lt;, ≥, ≤); the rule summary reads as a sentence, and the run appears on the record's Activity as an automation entry.</t>
        </is>
      </c>
      <c r="F43" s="4"/>
      <c r="G43" s="4" t="inlineStr">
        <is>
          <t xml:space="preserve">Not run</t>
        </is>
      </c>
      <c r="H43" s="2"/>
      <c r="I43" s="7"/>
      <c r="J43" s="2"/>
    </row>
    <row r="44">
      <c r="A44" s="3" t="inlineStr">
        <is>
          <t xml:space="preserve">AB-13</t>
        </is>
      </c>
      <c r="B44" s="2" t="inlineStr">
        <is>
          <t xml:space="preserve">Workspace App Builder</t>
        </is>
      </c>
      <c r="C44" s="2" t="inlineStr">
        <is>
          <t xml:space="preserve">Sub-item lists, automations, dashboard</t>
        </is>
      </c>
      <c r="D44" s="2" t="inlineStr">
        <is>
          <t xml:space="preserve">The app dashboard is an arrangement, not a fixed page.</t>
        </is>
      </c>
      <c r="E44" s="2" t="inlineStr">
        <is>
          <t xml:space="preserve">Add and reorder widgets, span 1–4 columns, and confirm a widget that needs a field type the app lacks says which field to add instead of drawing an empty chart.</t>
        </is>
      </c>
      <c r="F44" s="4"/>
      <c r="G44" s="4" t="inlineStr">
        <is>
          <t xml:space="preserve">Not run</t>
        </is>
      </c>
      <c r="H44" s="2"/>
      <c r="I44" s="7"/>
      <c r="J44" s="2"/>
    </row>
    <row r="45">
      <c r="A45" s="3" t="inlineStr">
        <is>
          <t xml:space="preserve">AB-14</t>
        </is>
      </c>
      <c r="B45" s="2" t="inlineStr">
        <is>
          <t xml:space="preserve">Workspace App Builder</t>
        </is>
      </c>
      <c r="C45" s="2" t="inlineStr">
        <is>
          <t xml:space="preserve">Getting an app in and out</t>
        </is>
      </c>
      <c r="D45" s="2" t="inlineStr">
        <is>
          <t xml:space="preserve">Install one of the shipped bundles.</t>
        </is>
      </c>
      <c r="E45" s="2" t="inlineStr">
        <is>
          <t xml:space="preserve">Underwriter (26 fields, 9 calculated), Sales Pipeline (27 / 6), Jobs (32 / 5, 2 sub-item lists). No unknown type quietly becomes text, no private view arrives, and every relationship and rollup target still resolves.</t>
        </is>
      </c>
      <c r="F45" s="4"/>
      <c r="G45" s="4" t="inlineStr">
        <is>
          <t xml:space="preserve">Not run</t>
        </is>
      </c>
      <c r="H45" s="2"/>
      <c r="I45" s="7"/>
      <c r="J45" s="2"/>
    </row>
    <row r="46">
      <c r="A46" s="3" t="inlineStr">
        <is>
          <t xml:space="preserve">AB-15</t>
        </is>
      </c>
      <c r="B46" s="2" t="inlineStr">
        <is>
          <t xml:space="preserve">Workspace App Builder</t>
        </is>
      </c>
      <c r="C46" s="2" t="inlineStr">
        <is>
          <t xml:space="preserve">Getting an app in and out</t>
        </is>
      </c>
      <c r="D46" s="2" t="inlineStr">
        <is>
          <t xml:space="preserve">A CSV import maps headers and reports what it could not place.</t>
        </is>
      </c>
      <c r="E46" s="2" t="inlineStr">
        <is>
          <t xml:space="preserve">A category value the field has never seen; a blank column; a row with a trailing comma.</t>
        </is>
      </c>
      <c r="F46" s="4"/>
      <c r="G46" s="4" t="inlineStr">
        <is>
          <t xml:space="preserve">Not run</t>
        </is>
      </c>
      <c r="H46" s="2"/>
      <c r="I46" s="7"/>
      <c r="J46" s="2"/>
    </row>
    <row r="47">
      <c r="A47" s="3" t="inlineStr">
        <is>
          <t xml:space="preserve">AB-16</t>
        </is>
      </c>
      <c r="B47" s="2" t="inlineStr">
        <is>
          <t xml:space="preserve">Workspace App Builder</t>
        </is>
      </c>
      <c r="C47" s="2" t="inlineStr">
        <is>
          <t xml:space="preserve">Getting an app in and out</t>
        </is>
      </c>
      <c r="D47" s="2" t="inlineStr">
        <is>
          <t xml:space="preserve">A linked app is a mirror, managed at its source.</t>
        </is>
      </c>
      <c r="E47" s="2" t="inlineStr">
        <is>
          <t xml:space="preserve">Fields, records, name and icon are read-only where it is installed, and the panel says so.</t>
        </is>
      </c>
      <c r="F47" s="4"/>
      <c r="G47" s="4" t="inlineStr">
        <is>
          <t xml:space="preserve">Not run</t>
        </is>
      </c>
      <c r="H47" s="2"/>
      <c r="I47" s="7"/>
      <c r="J47" s="2"/>
    </row>
    <row r="48">
      <c r="A48" s="3" t="inlineStr">
        <is>
          <t xml:space="preserve">AB-17</t>
        </is>
      </c>
      <c r="B48" s="2" t="inlineStr">
        <is>
          <t xml:space="preserve">Workspace App Builder</t>
        </is>
      </c>
      <c r="C48" s="2" t="inlineStr">
        <is>
          <t xml:space="preserve">Getting an app in and out</t>
        </is>
      </c>
      <c r="D48" s="2" t="inlineStr">
        <is>
          <t xml:space="preserve">Deleting an app names the app and its record count before it goes.</t>
        </is>
      </c>
      <c r="E48" s="2"/>
      <c r="F48" s="4"/>
      <c r="G48" s="4" t="inlineStr">
        <is>
          <t xml:space="preserve">Not run</t>
        </is>
      </c>
      <c r="H48" s="2"/>
      <c r="I48" s="7"/>
      <c r="J48" s="2"/>
    </row>
    <row r="49">
      <c r="A49" s="3" t="inlineStr">
        <is>
          <t xml:space="preserve">AB-18</t>
        </is>
      </c>
      <c r="B49" s="2" t="inlineStr">
        <is>
          <t xml:space="preserve">Workspace App Builder</t>
        </is>
      </c>
      <c r="C49" s="2" t="inlineStr">
        <is>
          <t xml:space="preserve">Getting an app in and out</t>
        </is>
      </c>
      <c r="D49" s="2" t="inlineStr">
        <is>
          <t xml:space="preserve">Guided setup does not claim a manually built app.</t>
        </is>
      </c>
      <c r="E49" s="2" t="inlineStr">
        <is>
          <t xml:space="preserve">Apply a setup in a workspace that already has a hand-made app: the manual app keeps its configuration, and a CRM conflict blocks with a message naming the app rather than activating both.</t>
        </is>
      </c>
      <c r="F49" s="4"/>
      <c r="G49" s="4" t="inlineStr">
        <is>
          <t xml:space="preserve">Not run</t>
        </is>
      </c>
      <c r="H49" s="2"/>
      <c r="I49" s="7"/>
      <c r="J49" s="2"/>
    </row>
    <row r="50">
      <c r="A50" s="3" t="inlineStr">
        <is>
          <t xml:space="preserve">FLD-01</t>
        </is>
      </c>
      <c r="B50" s="2" t="inlineStr">
        <is>
          <t xml:space="preserve">App fields</t>
        </is>
      </c>
      <c r="C50" s="2" t="inlineStr">
        <is>
          <t xml:space="preserve">Choice chips — new</t>
        </is>
      </c>
      <c r="D50" s="2" t="inlineStr">
        <is>
          <t xml:space="preserve">A Display style row appears on Category and Status.</t>
        </is>
      </c>
      <c r="E50" s="2" t="inlineStr">
        <is>
          <t xml:space="preserve">Dropdown or Choice chips. Multi-select does not offer it — it holds several values, and one-at-a-time chips are the wrong control.</t>
        </is>
      </c>
      <c r="F50" s="4" t="inlineStr">
        <is>
          <t xml:space="preserve">NEW</t>
        </is>
      </c>
      <c r="G50" s="4" t="inlineStr">
        <is>
          <t xml:space="preserve">Not run</t>
        </is>
      </c>
      <c r="H50" s="2"/>
      <c r="I50" s="7"/>
      <c r="J50" s="2"/>
    </row>
    <row r="51">
      <c r="A51" s="3" t="inlineStr">
        <is>
          <t xml:space="preserve">FLD-02</t>
        </is>
      </c>
      <c r="B51" s="2" t="inlineStr">
        <is>
          <t xml:space="preserve">App fields</t>
        </is>
      </c>
      <c r="C51" s="2" t="inlineStr">
        <is>
          <t xml:space="preserve">Choice chips — new</t>
        </is>
      </c>
      <c r="D51" s="2" t="inlineStr">
        <is>
          <t xml:space="preserve">Chips draw every option, with the current one filled.</t>
        </is>
      </c>
      <c r="E51" s="2" t="inlineStr">
        <is>
          <t xml:space="preserve">On the record modal, on the record page, inside a sub-item row and in an inline table cell.</t>
        </is>
      </c>
      <c r="F51" s="4" t="inlineStr">
        <is>
          <t xml:space="preserve">NEW</t>
        </is>
      </c>
      <c r="G51" s="4" t="inlineStr">
        <is>
          <t xml:space="preserve">Not run</t>
        </is>
      </c>
      <c r="H51" s="2"/>
      <c r="I51" s="7"/>
      <c r="J51" s="2"/>
    </row>
    <row r="52">
      <c r="A52" s="3" t="inlineStr">
        <is>
          <t xml:space="preserve">FLD-03</t>
        </is>
      </c>
      <c r="B52" s="2" t="inlineStr">
        <is>
          <t xml:space="preserve">App fields</t>
        </is>
      </c>
      <c r="C52" s="2" t="inlineStr">
        <is>
          <t xml:space="preserve">Choice chips — new</t>
        </is>
      </c>
      <c r="D52" s="2" t="inlineStr">
        <is>
          <t xml:space="preserve">Clicking a chip picks it and the form knows.</t>
        </is>
      </c>
      <c r="E52" s="2" t="inlineStr">
        <is>
          <t xml:space="preserve">Save enables, a conditional Button re-evaluates immediately, and the saved record holds the option — the same value a dropdown would have stored.</t>
        </is>
      </c>
      <c r="F52" s="4" t="inlineStr">
        <is>
          <t xml:space="preserve">NEW</t>
        </is>
      </c>
      <c r="G52" s="4" t="inlineStr">
        <is>
          <t xml:space="preserve">Not run</t>
        </is>
      </c>
      <c r="H52" s="2"/>
      <c r="I52" s="7"/>
      <c r="J52" s="2"/>
    </row>
    <row r="53">
      <c r="A53" s="3" t="inlineStr">
        <is>
          <t xml:space="preserve">FLD-04</t>
        </is>
      </c>
      <c r="B53" s="2" t="inlineStr">
        <is>
          <t xml:space="preserve">App fields</t>
        </is>
      </c>
      <c r="C53" s="2" t="inlineStr">
        <is>
          <t xml:space="preserve">Choice chips — new</t>
        </is>
      </c>
      <c r="D53" s="2" t="inlineStr">
        <is>
          <t xml:space="preserve">Clicking the picked chip again clears the field.</t>
        </is>
      </c>
      <c r="E53" s="2"/>
      <c r="F53" s="4" t="inlineStr">
        <is>
          <t xml:space="preserve">NEW</t>
        </is>
      </c>
      <c r="G53" s="4" t="inlineStr">
        <is>
          <t xml:space="preserve">Not run</t>
        </is>
      </c>
      <c r="H53" s="2"/>
      <c r="I53" s="7"/>
      <c r="J53" s="2"/>
    </row>
    <row r="54">
      <c r="A54" s="3" t="inlineStr">
        <is>
          <t xml:space="preserve">FLD-05</t>
        </is>
      </c>
      <c r="B54" s="2" t="inlineStr">
        <is>
          <t xml:space="preserve">App fields</t>
        </is>
      </c>
      <c r="C54" s="2" t="inlineStr">
        <is>
          <t xml:space="preserve">Choice chips — new</t>
        </is>
      </c>
      <c r="D54" s="2" t="inlineStr">
        <is>
          <t xml:space="preserve">"+ Other" mints an option for everybody.</t>
        </is>
      </c>
      <c r="E54" s="2" t="inlineStr">
        <is>
          <t xml:space="preserve">Type a value the app has never seen and press Done: the chip appears in the row, this record is set to it, a toast names the field, and the option is there for the next person.</t>
        </is>
      </c>
      <c r="F54" s="4" t="inlineStr">
        <is>
          <t xml:space="preserve">NEW</t>
        </is>
      </c>
      <c r="G54" s="4" t="inlineStr">
        <is>
          <t xml:space="preserve">Not run</t>
        </is>
      </c>
      <c r="H54" s="2"/>
      <c r="I54" s="7"/>
      <c r="J54" s="2"/>
    </row>
    <row r="55">
      <c r="A55" s="3" t="inlineStr">
        <is>
          <t xml:space="preserve">FLD-06</t>
        </is>
      </c>
      <c r="B55" s="2" t="inlineStr">
        <is>
          <t xml:space="preserve">App fields</t>
        </is>
      </c>
      <c r="C55" s="2" t="inlineStr">
        <is>
          <t xml:space="preserve">Choice chips — new</t>
        </is>
      </c>
      <c r="D55" s="2" t="inlineStr">
        <is>
          <t xml:space="preserve">"roofing" against an existing "Roofing" picks the existing chip.</t>
        </is>
      </c>
      <c r="E55" s="2" t="inlineStr">
        <is>
          <t xml:space="preserve">No second chip, no second colour.</t>
        </is>
      </c>
      <c r="F55" s="4" t="inlineStr">
        <is>
          <t xml:space="preserve">NEW</t>
        </is>
      </c>
      <c r="G55" s="4" t="inlineStr">
        <is>
          <t xml:space="preserve">Not run</t>
        </is>
      </c>
      <c r="H55" s="2"/>
      <c r="I55" s="7"/>
      <c r="J55" s="2"/>
    </row>
    <row r="56">
      <c r="A56" s="3" t="inlineStr">
        <is>
          <t xml:space="preserve">FLD-07</t>
        </is>
      </c>
      <c r="B56" s="2" t="inlineStr">
        <is>
          <t xml:space="preserve">App fields</t>
        </is>
      </c>
      <c r="C56" s="2" t="inlineStr">
        <is>
          <t xml:space="preserve">Choice chips — new</t>
        </is>
      </c>
      <c r="D56" s="2" t="inlineStr">
        <is>
          <t xml:space="preserve">Without workspaces.manage, minting is refused out loud.</t>
        </is>
      </c>
      <c r="E56" s="2" t="inlineStr">
        <is>
          <t xml:space="preserve">A message saying only people who can manage workspaces may add an option — and what was typed is still on screen, not dropped.</t>
        </is>
      </c>
      <c r="F56" s="4" t="inlineStr">
        <is>
          <t xml:space="preserve">NEW</t>
        </is>
      </c>
      <c r="G56" s="4" t="inlineStr">
        <is>
          <t xml:space="preserve">Not run</t>
        </is>
      </c>
      <c r="H56" s="2"/>
      <c r="I56" s="7"/>
      <c r="J56" s="2"/>
    </row>
    <row r="57">
      <c r="A57" s="3" t="inlineStr">
        <is>
          <t xml:space="preserve">FLD-08</t>
        </is>
      </c>
      <c r="B57" s="2" t="inlineStr">
        <is>
          <t xml:space="preserve">App fields</t>
        </is>
      </c>
      <c r="C57" s="2" t="inlineStr">
        <is>
          <t xml:space="preserve">Choice chips — new</t>
        </is>
      </c>
      <c r="D57" s="2" t="inlineStr">
        <is>
          <t xml:space="preserve">Enter and Escape belong to the "+ Other" box.</t>
        </is>
      </c>
      <c r="E57" s="2" t="inlineStr">
        <is>
          <t xml:space="preserve">Enter adds the option. Escape closes only the box. Neither closes the record dialog, and neither commits the inline cell the chips are sitting in.</t>
        </is>
      </c>
      <c r="F57" s="4" t="inlineStr">
        <is>
          <t xml:space="preserve">NEW</t>
        </is>
      </c>
      <c r="G57" s="4" t="inlineStr">
        <is>
          <t xml:space="preserve">Not run</t>
        </is>
      </c>
      <c r="H57" s="2"/>
      <c r="I57" s="7"/>
      <c r="J57" s="2"/>
    </row>
    <row r="58">
      <c r="A58" s="3" t="inlineStr">
        <is>
          <t xml:space="preserve">FLD-09</t>
        </is>
      </c>
      <c r="B58" s="2" t="inlineStr">
        <is>
          <t xml:space="preserve">App fields</t>
        </is>
      </c>
      <c r="C58" s="2" t="inlineStr">
        <is>
          <t xml:space="preserve">Choice chips — new</t>
        </is>
      </c>
      <c r="D58" s="2" t="inlineStr">
        <is>
          <t xml:space="preserve">A chip in a table cell does not open the record behind it.</t>
        </is>
      </c>
      <c r="E58" s="2"/>
      <c r="F58" s="4" t="inlineStr">
        <is>
          <t xml:space="preserve">NEW</t>
        </is>
      </c>
      <c r="G58" s="4" t="inlineStr">
        <is>
          <t xml:space="preserve">Not run</t>
        </is>
      </c>
      <c r="H58" s="2"/>
      <c r="I58" s="7"/>
      <c r="J58" s="2"/>
    </row>
    <row r="59">
      <c r="A59" s="3" t="inlineStr">
        <is>
          <t xml:space="preserve">FLD-10</t>
        </is>
      </c>
      <c r="B59" s="2" t="inlineStr">
        <is>
          <t xml:space="preserve">App fields</t>
        </is>
      </c>
      <c r="C59" s="2" t="inlineStr">
        <is>
          <t xml:space="preserve">Choice chips — new</t>
        </is>
      </c>
      <c r="D59" s="2" t="inlineStr">
        <is>
          <t xml:space="preserve">A chip field with no options falls back to the dropdown.</t>
        </is>
      </c>
      <c r="E59" s="2" t="inlineStr">
        <is>
          <t xml:space="preserve">An empty chip row is a dead end; the dropdown at least accepts a typed value.</t>
        </is>
      </c>
      <c r="F59" s="4" t="inlineStr">
        <is>
          <t xml:space="preserve">NEW</t>
        </is>
      </c>
      <c r="G59" s="4" t="inlineStr">
        <is>
          <t xml:space="preserve">Not run</t>
        </is>
      </c>
      <c r="H59" s="2"/>
      <c r="I59" s="7"/>
      <c r="J59" s="2"/>
    </row>
    <row r="60">
      <c r="A60" s="3" t="inlineStr">
        <is>
          <t xml:space="preserve">FLD-11</t>
        </is>
      </c>
      <c r="B60" s="2" t="inlineStr">
        <is>
          <t xml:space="preserve">App fields</t>
        </is>
      </c>
      <c r="C60" s="2" t="inlineStr">
        <is>
          <t xml:space="preserve">Choice chips — new</t>
        </is>
      </c>
      <c r="D60" s="2" t="inlineStr">
        <is>
          <t xml:space="preserve">A copy landing on a chip field resolves the label to an option.</t>
        </is>
      </c>
      <c r="E60" s="2" t="inlineStr">
        <is>
          <t xml:space="preserve">Pick a contact or a linked record whose value this app has never seen: the option is minted and the chip is picked. A value that cannot be resolved leaves the field alone rather than clearing it, and a copy never overwrites a chip somebody picked themselves.</t>
        </is>
      </c>
      <c r="F60" s="4" t="inlineStr">
        <is>
          <t xml:space="preserve">NEW</t>
        </is>
      </c>
      <c r="G60" s="4" t="inlineStr">
        <is>
          <t xml:space="preserve">Not run</t>
        </is>
      </c>
      <c r="H60" s="2"/>
      <c r="I60" s="7"/>
      <c r="J60" s="2"/>
    </row>
    <row r="61">
      <c r="A61" s="3" t="inlineStr">
        <is>
          <t xml:space="preserve">FLD-12</t>
        </is>
      </c>
      <c r="B61" s="2" t="inlineStr">
        <is>
          <t xml:space="preserve">App fields</t>
        </is>
      </c>
      <c r="C61" s="2" t="inlineStr">
        <is>
          <t xml:space="preserve">Choice chips — new</t>
        </is>
      </c>
      <c r="D61" s="2" t="inlineStr">
        <is>
          <t xml:space="preserve">A dropdown category is still a type-ahead.</t>
        </is>
      </c>
      <c r="E61" s="2" t="inlineStr">
        <is>
          <t xml:space="preserve">Blank until clicked, filters as you type, and an unknown value joins the list under the same casing rules.</t>
        </is>
      </c>
      <c r="F61" s="4"/>
      <c r="G61" s="4" t="inlineStr">
        <is>
          <t xml:space="preserve">Not run</t>
        </is>
      </c>
      <c r="H61" s="2"/>
      <c r="I61" s="7"/>
      <c r="J61" s="2"/>
    </row>
    <row r="62">
      <c r="A62" s="3" t="inlineStr">
        <is>
          <t xml:space="preserve">FLD-13</t>
        </is>
      </c>
      <c r="B62" s="2" t="inlineStr">
        <is>
          <t xml:space="preserve">App fields</t>
        </is>
      </c>
      <c r="C62" s="2" t="inlineStr">
        <is>
          <t xml:space="preserve">Fields that reach across records</t>
        </is>
      </c>
      <c r="D62" s="2" t="inlineStr">
        <is>
          <t xml:space="preserve">The relationship picker shows both halves.</t>
        </is>
      </c>
      <c r="E62" s="2" t="inlineStr">
        <is>
          <t xml:space="preserve">Identify by names the record, Show field sits under it, so two leads for the same person read differently. Search matches either half and the chosen text keeps the distinction.</t>
        </is>
      </c>
      <c r="F62" s="4"/>
      <c r="G62" s="4" t="inlineStr">
        <is>
          <t xml:space="preserve">Not run</t>
        </is>
      </c>
      <c r="H62" s="2"/>
      <c r="I62" s="7"/>
      <c r="J62" s="2"/>
    </row>
    <row r="63">
      <c r="A63" s="3" t="inlineStr">
        <is>
          <t xml:space="preserve">FLD-14</t>
        </is>
      </c>
      <c r="B63" s="2" t="inlineStr">
        <is>
          <t xml:space="preserve">App fields</t>
        </is>
      </c>
      <c r="C63" s="2" t="inlineStr">
        <is>
          <t xml:space="preserve">Fields that reach across records</t>
        </is>
      </c>
      <c r="D63" s="2" t="inlineStr">
        <is>
          <t xml:space="preserve">The relationship config panel renders at all.</t>
        </is>
      </c>
      <c r="E63" s="2" t="inlineStr">
        <is>
          <t xml:space="preserve">Workspace, Linked app, Show field, Identify by and Specific record are all present. This panel has gone entirely blank once, from one helper throwing.</t>
        </is>
      </c>
      <c r="F63" s="4" t="inlineStr">
        <is>
          <t xml:space="preserve">REGRESSION</t>
        </is>
      </c>
      <c r="G63" s="4" t="inlineStr">
        <is>
          <t xml:space="preserve">Not run</t>
        </is>
      </c>
      <c r="H63" s="2"/>
      <c r="I63" s="7"/>
      <c r="J63" s="2"/>
    </row>
    <row r="64">
      <c r="A64" s="3" t="inlineStr">
        <is>
          <t xml:space="preserve">FLD-15</t>
        </is>
      </c>
      <c r="B64" s="2" t="inlineStr">
        <is>
          <t xml:space="preserve">App fields</t>
        </is>
      </c>
      <c r="C64" s="2" t="inlineStr">
        <is>
          <t xml:space="preserve">Fields that reach across records</t>
        </is>
      </c>
      <c r="D64" s="2" t="inlineStr">
        <is>
          <t xml:space="preserve">A mapped copy fills only blank fields.</t>
        </is>
      </c>
      <c r="E64" s="2" t="inlineStr">
        <is>
          <t xml:space="preserve">Type an address, then link a record that has one: what you typed is kept. Changing the linked record afterwards updates what the copy wrote.</t>
        </is>
      </c>
      <c r="F64" s="4"/>
      <c r="G64" s="4" t="inlineStr">
        <is>
          <t xml:space="preserve">Not run</t>
        </is>
      </c>
      <c r="H64" s="2"/>
      <c r="I64" s="7"/>
      <c r="J64" s="2"/>
    </row>
    <row r="65">
      <c r="A65" s="3" t="inlineStr">
        <is>
          <t xml:space="preserve">FLD-16</t>
        </is>
      </c>
      <c r="B65" s="2" t="inlineStr">
        <is>
          <t xml:space="preserve">App fields</t>
        </is>
      </c>
      <c r="C65" s="2" t="inlineStr">
        <is>
          <t xml:space="preserve">Fields that reach across records</t>
        </is>
      </c>
      <c r="D65" s="2" t="inlineStr">
        <is>
          <t xml:space="preserve">"Copy every field they share" matches by label.</t>
        </is>
      </c>
      <c r="E65" s="2" t="inlineStr">
        <is>
          <t xml:space="preserve">Case and spacing ignored; a hand-written row beats the switch; the switch is cleared for a multi-link; Date into Money is refused and nothing at all copies into a calculation, rollup, autonumber or timestamp field.</t>
        </is>
      </c>
      <c r="F65" s="4"/>
      <c r="G65" s="4" t="inlineStr">
        <is>
          <t xml:space="preserve">Not run</t>
        </is>
      </c>
      <c r="H65" s="2"/>
      <c r="I65" s="7"/>
      <c r="J65" s="2"/>
    </row>
    <row r="66">
      <c r="A66" s="3" t="inlineStr">
        <is>
          <t xml:space="preserve">FLD-17</t>
        </is>
      </c>
      <c r="B66" s="2" t="inlineStr">
        <is>
          <t xml:space="preserve">App fields</t>
        </is>
      </c>
      <c r="C66" s="2" t="inlineStr">
        <is>
          <t xml:space="preserve">Fields that reach across records</t>
        </is>
      </c>
      <c r="D66" s="2" t="inlineStr">
        <is>
          <t xml:space="preserve">The Company Contact copy actually runs.</t>
        </is>
      </c>
      <c r="E66" s="2" t="inlineStr">
        <is>
          <t xml:space="preserve">Pick a contact and watch the matching fields fill. It has shipped twice reporting "Contact copy failed to load" while the real fault was elsewhere — check the console is clean, not just the fields.</t>
        </is>
      </c>
      <c r="F66" s="4" t="inlineStr">
        <is>
          <t xml:space="preserve">REGRESSION</t>
        </is>
      </c>
      <c r="G66" s="4" t="inlineStr">
        <is>
          <t xml:space="preserve">Not run</t>
        </is>
      </c>
      <c r="H66" s="2"/>
      <c r="I66" s="7"/>
      <c r="J66" s="2"/>
    </row>
    <row r="67">
      <c r="A67" s="3" t="inlineStr">
        <is>
          <t xml:space="preserve">FLD-18</t>
        </is>
      </c>
      <c r="B67" s="2" t="inlineStr">
        <is>
          <t xml:space="preserve">App fields</t>
        </is>
      </c>
      <c r="C67" s="2" t="inlineStr">
        <is>
          <t xml:space="preserve">Fields that reach across records</t>
        </is>
      </c>
      <c r="D67" s="2" t="inlineStr">
        <is>
          <t xml:space="preserve">A copy into a category writes the option, not the label.</t>
        </is>
      </c>
      <c r="E67" s="2" t="inlineStr">
        <is>
          <t xml:space="preserve">The Company field shows the contact's company after the copy — not its placeholder — and the saved record holds an option id.</t>
        </is>
      </c>
      <c r="F67" s="4" t="inlineStr">
        <is>
          <t xml:space="preserve">REGRESSION</t>
        </is>
      </c>
      <c r="G67" s="4" t="inlineStr">
        <is>
          <t xml:space="preserve">Not run</t>
        </is>
      </c>
      <c r="H67" s="2"/>
      <c r="I67" s="7"/>
      <c r="J67" s="2"/>
    </row>
    <row r="68">
      <c r="A68" s="3" t="inlineStr">
        <is>
          <t xml:space="preserve">FLD-19</t>
        </is>
      </c>
      <c r="B68" s="2" t="inlineStr">
        <is>
          <t xml:space="preserve">App fields</t>
        </is>
      </c>
      <c r="C68" s="2" t="inlineStr">
        <is>
          <t xml:space="preserve">Fields that reach across records</t>
        </is>
      </c>
      <c r="D68" s="2" t="inlineStr">
        <is>
          <t xml:space="preserve">Saving a record with a Company Contact field terminates.</t>
        </is>
      </c>
      <c r="E68" s="2" t="inlineStr">
        <is>
          <t xml:space="preserve">Type a customer who is not in the directory and Save: the contact is created with just the name, the record saves, and the tab does not freeze re-submitting itself. Save again with nothing pending — one pass.</t>
        </is>
      </c>
      <c r="F68" s="4" t="inlineStr">
        <is>
          <t xml:space="preserve">REGRESSION</t>
        </is>
      </c>
      <c r="G68" s="4" t="inlineStr">
        <is>
          <t xml:space="preserve">Not run</t>
        </is>
      </c>
      <c r="H68" s="2"/>
      <c r="I68" s="7"/>
      <c r="J68" s="2"/>
    </row>
    <row r="69">
      <c r="A69" s="3" t="inlineStr">
        <is>
          <t xml:space="preserve">FLD-20</t>
        </is>
      </c>
      <c r="B69" s="2" t="inlineStr">
        <is>
          <t xml:space="preserve">App fields</t>
        </is>
      </c>
      <c r="C69" s="2" t="inlineStr">
        <is>
          <t xml:space="preserve">Fields that reach across records</t>
        </is>
      </c>
      <c r="D69" s="2" t="inlineStr">
        <is>
          <t xml:space="preserve">A recycle-binned contact is neither offered nor counted as a duplicate.</t>
        </is>
      </c>
      <c r="E69" s="2"/>
      <c r="F69" s="4"/>
      <c r="G69" s="4" t="inlineStr">
        <is>
          <t xml:space="preserve">Not run</t>
        </is>
      </c>
      <c r="H69" s="2"/>
      <c r="I69" s="7"/>
      <c r="J69" s="2"/>
    </row>
    <row r="70">
      <c r="A70" s="3" t="inlineStr">
        <is>
          <t xml:space="preserve">FLD-21</t>
        </is>
      </c>
      <c r="B70" s="2" t="inlineStr">
        <is>
          <t xml:space="preserve">App fields</t>
        </is>
      </c>
      <c r="C70" s="2" t="inlineStr">
        <is>
          <t xml:space="preserve">The Button field</t>
        </is>
      </c>
      <c r="D70" s="2" t="inlineStr">
        <is>
          <t xml:space="preserve">Conditions read the form, not the last save.</t>
        </is>
      </c>
      <c r="E70" s="2" t="inlineStr">
        <is>
          <t xml:space="preserve">Change the stage without saving and the button lights up. A category is compared on its label ("Won"), and a half-written rule is ignored rather than locking the button while it is being filled in.</t>
        </is>
      </c>
      <c r="F70" s="4"/>
      <c r="G70" s="4" t="inlineStr">
        <is>
          <t xml:space="preserve">Not run</t>
        </is>
      </c>
      <c r="H70" s="2"/>
      <c r="I70" s="7"/>
      <c r="J70" s="2"/>
    </row>
    <row r="71">
      <c r="A71" s="3" t="inlineStr">
        <is>
          <t xml:space="preserve">FLD-22</t>
        </is>
      </c>
      <c r="B71" s="2" t="inlineStr">
        <is>
          <t xml:space="preserve">App fields</t>
        </is>
      </c>
      <c r="C71" s="2" t="inlineStr">
        <is>
          <t xml:space="preserve">The Button field</t>
        </is>
      </c>
      <c r="D71" s="2" t="inlineStr">
        <is>
          <t xml:space="preserve">"Everything on the record" turns off and stays off.</t>
        </is>
      </c>
      <c r="E71" s="2" t="inlineStr">
        <is>
          <t xml:space="preserve">Flip it off, untick a few fields, save, reopen the panel: the switch is still off with exactly those fields ticked. Turning the switch off used to be impossible — an empty list read as "everything" and drew the switch back on.</t>
        </is>
      </c>
      <c r="F71" s="4" t="inlineStr">
        <is>
          <t xml:space="preserve">NEW</t>
        </is>
      </c>
      <c r="G71" s="4" t="inlineStr">
        <is>
          <t xml:space="preserve">Not run</t>
        </is>
      </c>
      <c r="H71" s="2"/>
      <c r="I71" s="7"/>
      <c r="J71" s="2"/>
    </row>
    <row r="72">
      <c r="A72" s="3" t="inlineStr">
        <is>
          <t xml:space="preserve">FLD-23</t>
        </is>
      </c>
      <c r="B72" s="2" t="inlineStr">
        <is>
          <t xml:space="preserve">App fields</t>
        </is>
      </c>
      <c r="C72" s="2" t="inlineStr">
        <is>
          <t xml:space="preserve">The Button field</t>
        </is>
      </c>
      <c r="D72" s="2" t="inlineStr">
        <is>
          <t xml:space="preserve">The picker starts all ticked, and says so when there is nothing to pick.</t>
        </is>
      </c>
      <c r="E72" s="2"/>
      <c r="F72" s="4" t="inlineStr">
        <is>
          <t xml:space="preserve">NEW</t>
        </is>
      </c>
      <c r="G72" s="4" t="inlineStr">
        <is>
          <t xml:space="preserve">Not run</t>
        </is>
      </c>
      <c r="H72" s="2"/>
      <c r="I72" s="7"/>
      <c r="J72" s="2"/>
    </row>
    <row r="73">
      <c r="A73" s="3" t="inlineStr">
        <is>
          <t xml:space="preserve">FLD-24</t>
        </is>
      </c>
      <c r="B73" s="2" t="inlineStr">
        <is>
          <t xml:space="preserve">App fields</t>
        </is>
      </c>
      <c r="C73" s="2" t="inlineStr">
        <is>
          <t xml:space="preserve">The Button field</t>
        </is>
      </c>
      <c r="D73" s="2" t="inlineStr">
        <is>
          <t xml:space="preserve">A press grows the target app to fit.</t>
        </is>
      </c>
      <c r="E73" s="2" t="inlineStr">
        <is>
          <t xml:space="preserve">Missing fields are created as clones with fresh ids, carrying their options but not the source's copy rules, and never required. Records already in the target keep every value and read blank in the new columns.</t>
        </is>
      </c>
      <c r="F73" s="4"/>
      <c r="G73" s="4" t="inlineStr">
        <is>
          <t xml:space="preserve">Not run</t>
        </is>
      </c>
      <c r="H73" s="2"/>
      <c r="I73" s="7"/>
      <c r="J73" s="2"/>
    </row>
    <row r="74">
      <c r="A74" s="3" t="inlineStr">
        <is>
          <t xml:space="preserve">FLD-25</t>
        </is>
      </c>
      <c r="B74" s="2" t="inlineStr">
        <is>
          <t xml:space="preserve">App fields</t>
        </is>
      </c>
      <c r="C74" s="2" t="inlineStr">
        <is>
          <t xml:space="preserve">The Button field</t>
        </is>
      </c>
      <c r="D74" s="2" t="inlineStr">
        <is>
          <t xml:space="preserve">Never carried: the button itself, or any automatic field.</t>
        </is>
      </c>
      <c r="E74" s="2" t="inlineStr">
        <is>
          <t xml:space="preserve">Autonumber, created and updated time, calculation and rollup are all left behind. A relationship is carried only where the target already has one of that name.</t>
        </is>
      </c>
      <c r="F74" s="4"/>
      <c r="G74" s="4" t="inlineStr">
        <is>
          <t xml:space="preserve">Not run</t>
        </is>
      </c>
      <c r="H74" s="2"/>
      <c r="I74" s="7"/>
      <c r="J74" s="2"/>
    </row>
    <row r="75">
      <c r="A75" s="3" t="inlineStr">
        <is>
          <t xml:space="preserve">FLD-26</t>
        </is>
      </c>
      <c r="B75" s="2" t="inlineStr">
        <is>
          <t xml:space="preserve">App fields</t>
        </is>
      </c>
      <c r="C75" s="2" t="inlineStr">
        <is>
          <t xml:space="preserve">The Button field</t>
        </is>
      </c>
      <c r="D75" s="2" t="inlineStr">
        <is>
          <t xml:space="preserve">The receiving app logs the arrival.</t>
        </is>
      </c>
      <c r="E75" s="2" t="inlineStr">
        <is>
          <t xml:space="preserve">Open the record that landed: its Activity reads "Title arrived from App (a copy)" as a created entry — not "Nothing yet" — and names how many fields were added to fit.</t>
        </is>
      </c>
      <c r="F75" s="4" t="inlineStr">
        <is>
          <t xml:space="preserve">NEW</t>
        </is>
      </c>
      <c r="G75" s="4" t="inlineStr">
        <is>
          <t xml:space="preserve">Not run</t>
        </is>
      </c>
      <c r="H75" s="2"/>
      <c r="I75" s="7"/>
      <c r="J75" s="2"/>
    </row>
    <row r="76">
      <c r="A76" s="3" t="inlineStr">
        <is>
          <t xml:space="preserve">FLD-27</t>
        </is>
      </c>
      <c r="B76" s="2" t="inlineStr">
        <is>
          <t xml:space="preserve">App fields</t>
        </is>
      </c>
      <c r="C76" s="2" t="inlineStr">
        <is>
          <t xml:space="preserve">The Button field</t>
        </is>
      </c>
      <c r="D76" s="2" t="inlineStr">
        <is>
          <t xml:space="preserve">Send-and-remove writes the target first.</t>
        </is>
      </c>
      <c r="E76" s="2" t="inlineStr">
        <is>
          <t xml:space="preserve">With the move action, the source record disappears only after the target has saved, and the source workspace logs where it went. A failed write must not lose it from both.</t>
        </is>
      </c>
      <c r="F76" s="4"/>
      <c r="G76" s="4" t="inlineStr">
        <is>
          <t xml:space="preserve">Not run</t>
        </is>
      </c>
      <c r="H76" s="2"/>
      <c r="I76" s="7"/>
      <c r="J76" s="2"/>
    </row>
    <row r="77">
      <c r="A77" s="3" t="inlineStr">
        <is>
          <t xml:space="preserve">FLD-28</t>
        </is>
      </c>
      <c r="B77" s="2" t="inlineStr">
        <is>
          <t xml:space="preserve">App fields</t>
        </is>
      </c>
      <c r="C77" s="2" t="inlineStr">
        <is>
          <t xml:space="preserve">The Button field</t>
        </is>
      </c>
      <c r="D77" s="2" t="inlineStr">
        <is>
          <t xml:space="preserve">Set-fields acts differently where it is pressed.</t>
        </is>
      </c>
      <c r="E77" s="2" t="inlineStr">
        <is>
          <t xml:space="preserve">In the list it writes the record and saves; on a form it fills the boxes and leaves them to be saved. A category is set by what it says, and a word the field has never heard of writes nothing. Automatic fields are refused.</t>
        </is>
      </c>
      <c r="F77" s="4"/>
      <c r="G77" s="4" t="inlineStr">
        <is>
          <t xml:space="preserve">Not run</t>
        </is>
      </c>
      <c r="H77" s="2"/>
      <c r="I77" s="7"/>
      <c r="J77" s="2"/>
    </row>
    <row r="78">
      <c r="A78" s="3" t="inlineStr">
        <is>
          <t xml:space="preserve">FLD-29</t>
        </is>
      </c>
      <c r="B78" s="2" t="inlineStr">
        <is>
          <t xml:space="preserve">App fields</t>
        </is>
      </c>
      <c r="C78" s="2" t="inlineStr">
        <is>
          <t xml:space="preserve">The Button field</t>
        </is>
      </c>
      <c r="D78" s="2" t="inlineStr">
        <is>
          <t xml:space="preserve">Text, icon, both, or neither.</t>
        </is>
      </c>
      <c r="E78" s="2" t="inlineStr">
        <is>
          <t xml:space="preserve">A blank button still has a body to click and does not collapse.</t>
        </is>
      </c>
      <c r="F78" s="4"/>
      <c r="G78" s="4" t="inlineStr">
        <is>
          <t xml:space="preserve">Not run</t>
        </is>
      </c>
      <c r="H78" s="2"/>
      <c r="I78" s="7"/>
      <c r="J78" s="2"/>
    </row>
    <row r="79">
      <c r="A79" s="3" t="inlineStr">
        <is>
          <t xml:space="preserve">FLD-30</t>
        </is>
      </c>
      <c r="B79" s="2" t="inlineStr">
        <is>
          <t xml:space="preserve">App fields</t>
        </is>
      </c>
      <c r="C79" s="2" t="inlineStr">
        <is>
          <t xml:space="preserve">Computed fields and the Sheet</t>
        </is>
      </c>
      <c r="D79" s="2" t="inlineStr">
        <is>
          <t xml:space="preserve">A calculation resolves {Label} against the app's own fields.</t>
        </is>
      </c>
      <c r="E79" s="2" t="inlineStr">
        <is>
          <t xml:space="preserve">And a formula referencing another calculation reads 0 — confirm the shipped bundles flatten rather than chain.</t>
        </is>
      </c>
      <c r="F79" s="4"/>
      <c r="G79" s="4" t="inlineStr">
        <is>
          <t xml:space="preserve">Not run</t>
        </is>
      </c>
      <c r="H79" s="2"/>
      <c r="I79" s="7"/>
      <c r="J79" s="2"/>
    </row>
    <row r="80">
      <c r="A80" s="3" t="inlineStr">
        <is>
          <t xml:space="preserve">FLD-31</t>
        </is>
      </c>
      <c r="B80" s="2" t="inlineStr">
        <is>
          <t xml:space="preserve">App fields</t>
        </is>
      </c>
      <c r="C80" s="2" t="inlineStr">
        <is>
          <t xml:space="preserve">Computed fields and the Sheet</t>
        </is>
      </c>
      <c r="D80" s="2" t="inlineStr">
        <is>
          <t xml:space="preserve">Rollup, auto-number prefix, Created time and Last modified.</t>
        </is>
      </c>
      <c r="E80" s="2" t="inlineStr">
        <is>
          <t xml:space="preserve">Auto-number is assigned on create and never renumbers; the timestamps read the record's own stamps rather than a stored value.</t>
        </is>
      </c>
      <c r="F80" s="4"/>
      <c r="G80" s="4" t="inlineStr">
        <is>
          <t xml:space="preserve">Not run</t>
        </is>
      </c>
      <c r="H80" s="2"/>
      <c r="I80" s="7"/>
      <c r="J80" s="2"/>
    </row>
    <row r="81">
      <c r="A81" s="3" t="inlineStr">
        <is>
          <t xml:space="preserve">FLD-32</t>
        </is>
      </c>
      <c r="B81" s="2" t="inlineStr">
        <is>
          <t xml:space="preserve">App fields</t>
        </is>
      </c>
      <c r="C81" s="2" t="inlineStr">
        <is>
          <t xml:space="preserve">Computed fields and the Sheet</t>
        </is>
      </c>
      <c r="D81" s="2" t="inlineStr">
        <is>
          <t xml:space="preserve">The Sheet editor opens.</t>
        </is>
      </c>
      <c r="E81" s="2" t="inlineStr">
        <is>
          <t xml:space="preserve">It once shipped broken with every test passing, because nothing called it. Open one and confirm the grid draws before checking anything else on it.</t>
        </is>
      </c>
      <c r="F81" s="4" t="inlineStr">
        <is>
          <t xml:space="preserve">REGRESSION</t>
        </is>
      </c>
      <c r="G81" s="4" t="inlineStr">
        <is>
          <t xml:space="preserve">Not run</t>
        </is>
      </c>
      <c r="H81" s="2"/>
      <c r="I81" s="7"/>
      <c r="J81" s="2"/>
    </row>
    <row r="82">
      <c r="A82" s="3" t="inlineStr">
        <is>
          <t xml:space="preserve">FLD-33</t>
        </is>
      </c>
      <c r="B82" s="2" t="inlineStr">
        <is>
          <t xml:space="preserve">App fields</t>
        </is>
      </c>
      <c r="C82" s="2" t="inlineStr">
        <is>
          <t xml:space="preserve">Computed fields and the Sheet</t>
        </is>
      </c>
      <c r="D82" s="2" t="inlineStr">
        <is>
          <t xml:space="preserve">The ribbon works: font and size, B/I/U, borders, fill, text colour, alignment, wrap, merge, number formats, clear formatting.</t>
        </is>
      </c>
      <c r="E82" s="2" t="inlineStr">
        <is>
          <t xml:space="preserve">Plus Ctrl+B / I / U and Ctrl+A.</t>
        </is>
      </c>
      <c r="F82" s="4"/>
      <c r="G82" s="4" t="inlineStr">
        <is>
          <t xml:space="preserve">Not run</t>
        </is>
      </c>
      <c r="H82" s="2"/>
      <c r="I82" s="7"/>
      <c r="J82" s="2"/>
    </row>
    <row r="83">
      <c r="A83" s="3" t="inlineStr">
        <is>
          <t xml:space="preserve">FLD-34</t>
        </is>
      </c>
      <c r="B83" s="2" t="inlineStr">
        <is>
          <t xml:space="preserve">App fields</t>
        </is>
      </c>
      <c r="C83" s="2" t="inlineStr">
        <is>
          <t xml:space="preserve">Computed fields and the Sheet</t>
        </is>
      </c>
      <c r="D83" s="2" t="inlineStr">
        <is>
          <t xml:space="preserve">Multi-select every way: drag, shift-click, shift+arrow, a header, several headers, the corner box.</t>
        </is>
      </c>
      <c r="E83" s="2" t="inlineStr">
        <is>
          <t xml:space="preserve">The lead cell stays outlined inside the wash, and the status bar carries the count and the sum.</t>
        </is>
      </c>
      <c r="F83" s="4"/>
      <c r="G83" s="4" t="inlineStr">
        <is>
          <t xml:space="preserve">Not run</t>
        </is>
      </c>
      <c r="H83" s="2"/>
      <c r="I83" s="7"/>
      <c r="J83" s="2"/>
    </row>
    <row r="84">
      <c r="A84" s="3" t="inlineStr">
        <is>
          <t xml:space="preserve">FLD-35</t>
        </is>
      </c>
      <c r="B84" s="2" t="inlineStr">
        <is>
          <t xml:space="preserve">App fields</t>
        </is>
      </c>
      <c r="C84" s="2" t="inlineStr">
        <is>
          <t xml:space="preserve">Computed fields and the Sheet</t>
        </is>
      </c>
      <c r="D84" s="2" t="inlineStr">
        <is>
          <t xml:space="preserve">Insert and delete rewrite every formula on the sheet.</t>
        </is>
      </c>
      <c r="E84" s="2" t="inlineStr">
        <is>
          <t xml:space="preserve">=SUM(A1:A9) becomes =SUM(A2:A10); a reference whose row was deleted becomes #REF! rather than pointing at whatever moved in; ="A1" stays text and MAX( stays a function.</t>
        </is>
      </c>
      <c r="F84" s="4"/>
      <c r="G84" s="4" t="inlineStr">
        <is>
          <t xml:space="preserve">Not run</t>
        </is>
      </c>
      <c r="H84" s="2"/>
      <c r="I84" s="7"/>
      <c r="J84" s="2"/>
    </row>
    <row r="85">
      <c r="A85" s="3" t="inlineStr">
        <is>
          <t xml:space="preserve">FLD-36</t>
        </is>
      </c>
      <c r="B85" s="2" t="inlineStr">
        <is>
          <t xml:space="preserve">App fields</t>
        </is>
      </c>
      <c r="C85" s="2" t="inlineStr">
        <is>
          <t xml:space="preserve">Computed fields and the Sheet</t>
        </is>
      </c>
      <c r="D85" s="2" t="inlineStr">
        <is>
          <t xml:space="preserve">Widths and heights drag, type in, and survive a save and reload.</t>
        </is>
      </c>
      <c r="E85" s="2" t="inlineStr">
        <is>
          <t xml:space="preserve">Along with every colour, border and merge. A column dragged narrow stays narrow.</t>
        </is>
      </c>
      <c r="F85" s="4"/>
      <c r="G85" s="4" t="inlineStr">
        <is>
          <t xml:space="preserve">Not run</t>
        </is>
      </c>
      <c r="H85" s="2"/>
      <c r="I85" s="7"/>
      <c r="J85" s="2"/>
    </row>
    <row r="86">
      <c r="A86" s="3" t="inlineStr">
        <is>
          <t xml:space="preserve">FLD-37</t>
        </is>
      </c>
      <c r="B86" s="2" t="inlineStr">
        <is>
          <t xml:space="preserve">App fields</t>
        </is>
      </c>
      <c r="C86" s="2" t="inlineStr">
        <is>
          <t xml:space="preserve">Computed fields and the Sheet</t>
        </is>
      </c>
      <c r="D86" s="2" t="inlineStr">
        <is>
          <t xml:space="preserve">Import an .xlsx with its formatting.</t>
        </is>
      </c>
      <c r="E86" s="2" t="inlineStr">
        <is>
          <t xml:space="preserve">Fills, text colour, borders, bold/italic/underline, font and size, alignment, wrapping, number formats, merges, widths and heights. A themed colour arrives coloured, not black on white, and a formula the engine cannot work out arrives as the value Excel last calculated.</t>
        </is>
      </c>
      <c r="F86" s="4"/>
      <c r="G86" s="4" t="inlineStr">
        <is>
          <t xml:space="preserve">Not run</t>
        </is>
      </c>
      <c r="H86" s="2"/>
      <c r="I86" s="7"/>
      <c r="J86" s="2"/>
    </row>
    <row r="87">
      <c r="A87" s="3" t="inlineStr">
        <is>
          <t xml:space="preserve">FLD-38</t>
        </is>
      </c>
      <c r="B87" s="2" t="inlineStr">
        <is>
          <t xml:space="preserve">App fields</t>
        </is>
      </c>
      <c r="C87" s="2" t="inlineStr">
        <is>
          <t xml:space="preserve">Computed fields and the Sheet</t>
        </is>
      </c>
      <c r="D87" s="2" t="inlineStr">
        <is>
          <t xml:space="preserve">Export writes a file Excel opens without a repair prompt.</t>
        </is>
      </c>
      <c r="E87" s="2"/>
      <c r="F87" s="4"/>
      <c r="G87" s="4" t="inlineStr">
        <is>
          <t xml:space="preserve">Not run</t>
        </is>
      </c>
      <c r="H87" s="2"/>
      <c r="I87" s="7"/>
      <c r="J87" s="2"/>
    </row>
    <row r="88">
      <c r="A88" s="3" t="inlineStr">
        <is>
          <t xml:space="preserve">FLD-39</t>
        </is>
      </c>
      <c r="B88" s="2" t="inlineStr">
        <is>
          <t xml:space="preserve">App fields</t>
        </is>
      </c>
      <c r="C88" s="2" t="inlineStr">
        <is>
          <t xml:space="preserve">Computed fields and the Sheet</t>
        </is>
      </c>
      <c r="D88" s="2" t="inlineStr">
        <is>
          <t xml:space="preserve">A Sheet or Button field never becomes the record's name.</t>
        </is>
      </c>
      <c r="E88" s="2" t="inlineStr">
        <is>
          <t xml:space="preserve">The feed must not announce a record as Added {"rows":39,"cols":24…, and that string must not drag the column sideways.</t>
        </is>
      </c>
      <c r="F88" s="4" t="inlineStr">
        <is>
          <t xml:space="preserve">REGRESSION</t>
        </is>
      </c>
      <c r="G88" s="4" t="inlineStr">
        <is>
          <t xml:space="preserve">Not run</t>
        </is>
      </c>
      <c r="H88" s="2"/>
      <c r="I88" s="7"/>
      <c r="J88" s="2"/>
    </row>
    <row r="89">
      <c r="A89" s="3" t="inlineStr">
        <is>
          <t xml:space="preserve">FLD-40</t>
        </is>
      </c>
      <c r="B89" s="2" t="inlineStr">
        <is>
          <t xml:space="preserve">App fields</t>
        </is>
      </c>
      <c r="C89" s="2" t="inlineStr">
        <is>
          <t xml:space="preserve">The rest of the palette</t>
        </is>
      </c>
      <c r="D89" s="2" t="inlineStr">
        <is>
          <t xml:space="preserve">Checklist default steps, and its % complete referenced from a Progress or Calculation field.</t>
        </is>
      </c>
      <c r="E89" s="2"/>
      <c r="F89" s="4"/>
      <c r="G89" s="4" t="inlineStr">
        <is>
          <t xml:space="preserve">Not run</t>
        </is>
      </c>
      <c r="H89" s="2"/>
      <c r="I89" s="7"/>
      <c r="J89" s="2"/>
    </row>
    <row r="90">
      <c r="A90" s="3" t="inlineStr">
        <is>
          <t xml:space="preserve">FLD-41</t>
        </is>
      </c>
      <c r="B90" s="2" t="inlineStr">
        <is>
          <t xml:space="preserve">App fields</t>
        </is>
      </c>
      <c r="C90" s="2" t="inlineStr">
        <is>
          <t xml:space="preserve">The rest of the palette</t>
        </is>
      </c>
      <c r="D90" s="2" t="inlineStr">
        <is>
          <t xml:space="preserve">Progress stops and display styles; Rating 0–5; Multi-select holds several; Duration in hours and minutes.</t>
        </is>
      </c>
      <c r="E90" s="2"/>
      <c r="F90" s="4"/>
      <c r="G90" s="4" t="inlineStr">
        <is>
          <t xml:space="preserve">Not run</t>
        </is>
      </c>
      <c r="H90" s="2"/>
      <c r="I90" s="7"/>
      <c r="J90" s="2"/>
    </row>
    <row r="91">
      <c r="A91" s="3" t="inlineStr">
        <is>
          <t xml:space="preserve">FLD-42</t>
        </is>
      </c>
      <c r="B91" s="2" t="inlineStr">
        <is>
          <t xml:space="preserve">App fields</t>
        </is>
      </c>
      <c r="C91" s="2" t="inlineStr">
        <is>
          <t xml:space="preserve">The rest of the palette</t>
        </is>
      </c>
      <c r="D91" s="2" t="inlineStr">
        <is>
          <t xml:space="preserve">Money currency symbol and Number unit suffix reach the table, the card and the CSV.</t>
        </is>
      </c>
      <c r="E91" s="2"/>
      <c r="F91" s="4"/>
      <c r="G91" s="4" t="inlineStr">
        <is>
          <t xml:space="preserve">Not run</t>
        </is>
      </c>
      <c r="H91" s="2"/>
      <c r="I91" s="7"/>
      <c r="J91" s="2"/>
    </row>
    <row r="92">
      <c r="A92" s="3" t="inlineStr">
        <is>
          <t xml:space="preserve">FLD-43</t>
        </is>
      </c>
      <c r="B92" s="2" t="inlineStr">
        <is>
          <t xml:space="preserve">App fields</t>
        </is>
      </c>
      <c r="C92" s="2" t="inlineStr">
        <is>
          <t xml:space="preserve">The rest of the palette</t>
        </is>
      </c>
      <c r="D92" s="2" t="inlineStr">
        <is>
          <t xml:space="preserve">URL: open, copy and QR. Email. Phone formats as you type and refuses letters.</t>
        </is>
      </c>
      <c r="E92" s="2"/>
      <c r="F92" s="4"/>
      <c r="G92" s="4" t="inlineStr">
        <is>
          <t xml:space="preserve">Not run</t>
        </is>
      </c>
      <c r="H92" s="2"/>
      <c r="I92" s="7"/>
      <c r="J92" s="2"/>
    </row>
    <row r="93">
      <c r="A93" s="3" t="inlineStr">
        <is>
          <t xml:space="preserve">FLD-44</t>
        </is>
      </c>
      <c r="B93" s="2" t="inlineStr">
        <is>
          <t xml:space="preserve">App fields</t>
        </is>
      </c>
      <c r="C93" s="2" t="inlineStr">
        <is>
          <t xml:space="preserve">The rest of the palette</t>
        </is>
      </c>
      <c r="D93" s="2" t="inlineStr">
        <is>
          <t xml:space="preserve">File: click or drop, progress bar, View / Download / Remove, the multiple switch.</t>
        </is>
      </c>
      <c r="E93" s="2" t="inlineStr">
        <is>
          <t xml:space="preserve">And the upload is mirrored into Company Drive under this app's folder, not a generic one.</t>
        </is>
      </c>
      <c r="F93" s="4"/>
      <c r="G93" s="4" t="inlineStr">
        <is>
          <t xml:space="preserve">Not run</t>
        </is>
      </c>
      <c r="H93" s="2"/>
      <c r="I93" s="7"/>
      <c r="J93" s="2"/>
    </row>
    <row r="94">
      <c r="A94" s="3" t="inlineStr">
        <is>
          <t xml:space="preserve">FLD-45</t>
        </is>
      </c>
      <c r="B94" s="2" t="inlineStr">
        <is>
          <t xml:space="preserve">App fields</t>
        </is>
      </c>
      <c r="C94" s="2" t="inlineStr">
        <is>
          <t xml:space="preserve">The rest of the palette</t>
        </is>
      </c>
      <c r="D94" s="2" t="inlineStr">
        <is>
          <t xml:space="preserve">Location: the pin is a control.</t>
        </is>
      </c>
      <c r="E94" s="2" t="inlineStr">
        <is>
          <t xml:space="preserve">It opens the map dialog — address search, drag the pin, Use my location. Only the address comes back. Everything else typed on the record survives the trip, and both Cancel and the shell's Close return you to the record with it intact.</t>
        </is>
      </c>
      <c r="F94" s="4"/>
      <c r="G94" s="4" t="inlineStr">
        <is>
          <t xml:space="preserve">Not run</t>
        </is>
      </c>
      <c r="H94" s="2"/>
      <c r="I94" s="7"/>
      <c r="J94" s="2"/>
    </row>
    <row r="95">
      <c r="A95" s="3" t="inlineStr">
        <is>
          <t xml:space="preserve">FLD-46</t>
        </is>
      </c>
      <c r="B95" s="2" t="inlineStr">
        <is>
          <t xml:space="preserve">App fields</t>
        </is>
      </c>
      <c r="C95" s="2" t="inlineStr">
        <is>
          <t xml:space="preserve">The rest of the palette</t>
        </is>
      </c>
      <c r="D95" s="2" t="inlineStr">
        <is>
          <t xml:space="preserve">Image, Yes/No, Text and Long text placeholders.</t>
        </is>
      </c>
      <c r="E95" s="2"/>
      <c r="F95" s="4"/>
      <c r="G95" s="4" t="inlineStr">
        <is>
          <t xml:space="preserve">Not run</t>
        </is>
      </c>
      <c r="H95" s="2"/>
      <c r="I95" s="7"/>
      <c r="J95" s="2"/>
    </row>
    <row r="96">
      <c r="A96" s="3" t="inlineStr">
        <is>
          <t xml:space="preserve">FLD-47</t>
        </is>
      </c>
      <c r="B96" s="2" t="inlineStr">
        <is>
          <t xml:space="preserve">App fields</t>
        </is>
      </c>
      <c r="C96" s="2" t="inlineStr">
        <is>
          <t xml:space="preserve">The rest of the palette</t>
        </is>
      </c>
      <c r="D96" s="2" t="inlineStr">
        <is>
          <t xml:space="preserve">Required blocks the save and names the field.</t>
        </is>
      </c>
      <c r="E96" s="2"/>
      <c r="F96" s="4"/>
      <c r="G96" s="4" t="inlineStr">
        <is>
          <t xml:space="preserve">Not run</t>
        </is>
      </c>
      <c r="H96" s="2"/>
      <c r="I96" s="7"/>
      <c r="J96" s="2"/>
    </row>
    <row r="97">
      <c r="A97" s="3" t="inlineStr">
        <is>
          <t xml:space="preserve">FLD-48</t>
        </is>
      </c>
      <c r="B97" s="2" t="inlineStr">
        <is>
          <t xml:space="preserve">App fields</t>
        </is>
      </c>
      <c r="C97" s="2" t="inlineStr">
        <is>
          <t xml:space="preserve">The rest of the palette</t>
        </is>
      </c>
      <c r="D97" s="2" t="inlineStr">
        <is>
          <t xml:space="preserve">Every one of the 28 config panels renders.</t>
        </is>
      </c>
      <c r="E97" s="2" t="inlineStr">
        <is>
          <t xml:space="preserve">Walk the palette top to bottom, open each field's Configure, and confirm the panel is populated. One throwing helper takes the whole panel down and every neighbouring setting with it.</t>
        </is>
      </c>
      <c r="F97" s="4" t="inlineStr">
        <is>
          <t xml:space="preserve">REGRESSION</t>
        </is>
      </c>
      <c r="G97" s="4" t="inlineStr">
        <is>
          <t xml:space="preserve">Not run</t>
        </is>
      </c>
      <c r="H97" s="2"/>
      <c r="I97" s="7"/>
      <c r="J97" s="2"/>
    </row>
    <row r="98">
      <c r="A98" s="3" t="inlineStr">
        <is>
          <t xml:space="preserve">CC-01</t>
        </is>
      </c>
      <c r="B98" s="2" t="inlineStr">
        <is>
          <t xml:space="preserve">Company Contacts</t>
        </is>
      </c>
      <c r="C98" s="2" t="inlineStr">
        <is>
          <t xml:space="preserve">The directory</t>
        </is>
      </c>
      <c r="D98" s="2" t="inlineStr">
        <is>
          <t xml:space="preserve">The columns are the company's.</t>
        </is>
      </c>
      <c r="E98" s="2" t="inlineStr">
        <is>
          <t xml:space="preserve">Name with the phone under it, then one column per unhidden field in field order, then Active with us, Open balance and Last touch. No Workspace column.</t>
        </is>
      </c>
      <c r="F98" s="4"/>
      <c r="G98" s="4" t="inlineStr">
        <is>
          <t xml:space="preserve">Not run</t>
        </is>
      </c>
      <c r="H98" s="2"/>
      <c r="I98" s="7"/>
      <c r="J98" s="2"/>
    </row>
    <row r="99">
      <c r="A99" s="3" t="inlineStr">
        <is>
          <t xml:space="preserve">CC-02</t>
        </is>
      </c>
      <c r="B99" s="2" t="inlineStr">
        <is>
          <t xml:space="preserve">Company Contacts</t>
        </is>
      </c>
      <c r="C99" s="2" t="inlineStr">
        <is>
          <t xml:space="preserve">The directory</t>
        </is>
      </c>
      <c r="D99" s="2" t="inlineStr">
        <is>
          <t xml:space="preserve">Renaming a field renames its column.</t>
        </is>
      </c>
      <c r="E99" s="2"/>
      <c r="F99" s="4"/>
      <c r="G99" s="4" t="inlineStr">
        <is>
          <t xml:space="preserve">Not run</t>
        </is>
      </c>
      <c r="H99" s="2"/>
      <c r="I99" s="7"/>
      <c r="J99" s="2"/>
    </row>
    <row r="100">
      <c r="A100" s="3" t="inlineStr">
        <is>
          <t xml:space="preserve">CC-03</t>
        </is>
      </c>
      <c r="B100" s="2" t="inlineStr">
        <is>
          <t xml:space="preserve">Company Contacts</t>
        </is>
      </c>
      <c r="C100" s="2" t="inlineStr">
        <is>
          <t xml:space="preserve">The directory</t>
        </is>
      </c>
      <c r="D100" s="2" t="inlineStr">
        <is>
          <t xml:space="preserve">Hidden means off the table, not off the record.</t>
        </is>
      </c>
      <c r="E100" s="2" t="inlineStr">
        <is>
          <t xml:space="preserve">Hide a field: it leaves the directory and stays on the card and the form. Hide the phone field and the number under every name stays put.</t>
        </is>
      </c>
      <c r="F100" s="4" t="inlineStr">
        <is>
          <t xml:space="preserve">REGRESSION</t>
        </is>
      </c>
      <c r="G100" s="4" t="inlineStr">
        <is>
          <t xml:space="preserve">Not run</t>
        </is>
      </c>
      <c r="H100" s="2"/>
      <c r="I100" s="7"/>
      <c r="J100" s="2"/>
    </row>
    <row r="101">
      <c r="A101" s="3" t="inlineStr">
        <is>
          <t xml:space="preserve">CC-04</t>
        </is>
      </c>
      <c r="B101" s="2" t="inlineStr">
        <is>
          <t xml:space="preserve">Company Contacts</t>
        </is>
      </c>
      <c r="C101" s="2" t="inlineStr">
        <is>
          <t xml:space="preserve">The directory</t>
        </is>
      </c>
      <c r="D101" s="2" t="inlineStr">
        <is>
          <t xml:space="preserve">A seventh field still aligns.</t>
        </is>
      </c>
      <c r="E101" s="2" t="inlineStr">
        <is>
          <t xml:space="preserve">Header and rows share the same tracks, and the wide table pans sideways inside itself rather than making the page scroll.</t>
        </is>
      </c>
      <c r="F101" s="4"/>
      <c r="G101" s="4" t="inlineStr">
        <is>
          <t xml:space="preserve">Not run</t>
        </is>
      </c>
      <c r="H101" s="2"/>
      <c r="I101" s="7"/>
      <c r="J101" s="2"/>
    </row>
    <row r="102">
      <c r="A102" s="3" t="inlineStr">
        <is>
          <t xml:space="preserve">CC-05</t>
        </is>
      </c>
      <c r="B102" s="2" t="inlineStr">
        <is>
          <t xml:space="preserve">Company Contacts</t>
        </is>
      </c>
      <c r="C102" s="2" t="inlineStr">
        <is>
          <t xml:space="preserve">The directory</t>
        </is>
      </c>
      <c r="D102" s="2" t="inlineStr">
        <is>
          <t xml:space="preserve">A narrow screen collapses to the name.</t>
        </is>
      </c>
      <c r="E102" s="2"/>
      <c r="F102" s="4"/>
      <c r="G102" s="4" t="inlineStr">
        <is>
          <t xml:space="preserve">Not run</t>
        </is>
      </c>
      <c r="H102" s="2"/>
      <c r="I102" s="7"/>
      <c r="J102" s="2"/>
    </row>
    <row r="103">
      <c r="A103" s="3" t="inlineStr">
        <is>
          <t xml:space="preserve">CC-06</t>
        </is>
      </c>
      <c r="B103" s="2" t="inlineStr">
        <is>
          <t xml:space="preserve">Company Contacts</t>
        </is>
      </c>
      <c r="C103" s="2" t="inlineStr">
        <is>
          <t xml:space="preserve">The directory</t>
        </is>
      </c>
      <c r="D103" s="2" t="inlineStr">
        <is>
          <t xml:space="preserve">Search matches every field, not just the name.</t>
        </is>
      </c>
      <c r="E103" s="2"/>
      <c r="F103" s="4"/>
      <c r="G103" s="4" t="inlineStr">
        <is>
          <t xml:space="preserve">Not run</t>
        </is>
      </c>
      <c r="H103" s="2"/>
      <c r="I103" s="7"/>
      <c r="J103" s="2"/>
    </row>
    <row r="104">
      <c r="A104" s="3" t="inlineStr">
        <is>
          <t xml:space="preserve">CC-07</t>
        </is>
      </c>
      <c r="B104" s="2" t="inlineStr">
        <is>
          <t xml:space="preserve">Company Contacts</t>
        </is>
      </c>
      <c r="C104" s="2" t="inlineStr">
        <is>
          <t xml:space="preserve">The directory</t>
        </is>
      </c>
      <c r="D104" s="2" t="inlineStr">
        <is>
          <t xml:space="preserve">Type chips filter with live counts.</t>
        </is>
      </c>
      <c r="E104" s="2" t="inlineStr">
        <is>
          <t xml:space="preserve">The chips come from the company's own category field; renaming it renames the filter's label.</t>
        </is>
      </c>
      <c r="F104" s="4"/>
      <c r="G104" s="4" t="inlineStr">
        <is>
          <t xml:space="preserve">Not run</t>
        </is>
      </c>
      <c r="H104" s="2"/>
      <c r="I104" s="7"/>
      <c r="J104" s="2"/>
    </row>
    <row r="105">
      <c r="A105" s="3" t="inlineStr">
        <is>
          <t xml:space="preserve">CC-08</t>
        </is>
      </c>
      <c r="B105" s="2" t="inlineStr">
        <is>
          <t xml:space="preserve">Company Contacts</t>
        </is>
      </c>
      <c r="C105" s="2" t="inlineStr">
        <is>
          <t xml:space="preserve">The directory</t>
        </is>
      </c>
      <c r="D105" s="2" t="inlineStr">
        <is>
          <t xml:space="preserve">Open balance and Active with us read across every workspace.</t>
        </is>
      </c>
      <c r="E105" s="2" t="inlineStr">
        <is>
          <t xml:space="preserve">Give one contact records in two workspaces and confirm the roll-up sums both.</t>
        </is>
      </c>
      <c r="F105" s="4"/>
      <c r="G105" s="4" t="inlineStr">
        <is>
          <t xml:space="preserve">Not run</t>
        </is>
      </c>
      <c r="H105" s="2"/>
      <c r="I105" s="7"/>
      <c r="J105" s="2"/>
    </row>
    <row r="106">
      <c r="A106" s="3" t="inlineStr">
        <is>
          <t xml:space="preserve">CC-09</t>
        </is>
      </c>
      <c r="B106" s="2" t="inlineStr">
        <is>
          <t xml:space="preserve">Company Contacts</t>
        </is>
      </c>
      <c r="C106" s="2" t="inlineStr">
        <is>
          <t xml:space="preserve">The fields editor</t>
        </is>
      </c>
      <c r="D106" s="2" t="inlineStr">
        <is>
          <t xml:space="preserve">Add, rename, reorder, require, hide, delete — and nothing is written until Save.</t>
        </is>
      </c>
      <c r="E106" s="2" t="inlineStr">
        <is>
          <t xml:space="preserve">Close cancels the lot. Save sits in the modal header; there is no footer Cancel below a scrolling list.</t>
        </is>
      </c>
      <c r="F106" s="4"/>
      <c r="G106" s="4" t="inlineStr">
        <is>
          <t xml:space="preserve">Not run</t>
        </is>
      </c>
      <c r="H106" s="2"/>
      <c r="I106" s="7"/>
      <c r="J106" s="2"/>
    </row>
    <row r="107">
      <c r="A107" s="3" t="inlineStr">
        <is>
          <t xml:space="preserve">CC-10</t>
        </is>
      </c>
      <c r="B107" s="2" t="inlineStr">
        <is>
          <t xml:space="preserve">Company Contacts</t>
        </is>
      </c>
      <c r="C107" s="2" t="inlineStr">
        <is>
          <t xml:space="preserve">The fields editor</t>
        </is>
      </c>
      <c r="D107" s="2" t="inlineStr">
        <is>
          <t xml:space="preserve">There is no type picker on an existing field.</t>
        </is>
      </c>
      <c r="E107" s="2" t="inlineStr">
        <is>
          <t xml:space="preserve">A type is chosen from the palette when the field is added — changing it later would reinterpret every value already stored under that id.</t>
        </is>
      </c>
      <c r="F107" s="4"/>
      <c r="G107" s="4" t="inlineStr">
        <is>
          <t xml:space="preserve">Not run</t>
        </is>
      </c>
      <c r="H107" s="2"/>
      <c r="I107" s="7"/>
      <c r="J107" s="2"/>
    </row>
    <row r="108">
      <c r="A108" s="3" t="inlineStr">
        <is>
          <t xml:space="preserve">CC-11</t>
        </is>
      </c>
      <c r="B108" s="2" t="inlineStr">
        <is>
          <t xml:space="preserve">Company Contacts</t>
        </is>
      </c>
      <c r="C108" s="2" t="inlineStr">
        <is>
          <t xml:space="preserve">The fields editor</t>
        </is>
      </c>
      <c r="D108" s="2" t="inlineStr">
        <is>
          <t xml:space="preserve">Two category fields hold different vocabularies.</t>
        </is>
      </c>
      <c r="E108" s="2" t="inlineStr">
        <is>
          <t xml:space="preserve">Options belong to the field, not to a shared table.</t>
        </is>
      </c>
      <c r="F108" s="4"/>
      <c r="G108" s="4" t="inlineStr">
        <is>
          <t xml:space="preserve">Not run</t>
        </is>
      </c>
      <c r="H108" s="2"/>
      <c r="I108" s="7"/>
      <c r="J108" s="2"/>
    </row>
    <row r="109">
      <c r="A109" s="3" t="inlineStr">
        <is>
          <t xml:space="preserve">CC-12</t>
        </is>
      </c>
      <c r="B109" s="2" t="inlineStr">
        <is>
          <t xml:space="preserve">Company Contacts</t>
        </is>
      </c>
      <c r="C109" s="2" t="inlineStr">
        <is>
          <t xml:space="preserve">The fields editor</t>
        </is>
      </c>
      <c r="D109" s="2" t="inlineStr">
        <is>
          <t xml:space="preserve">The inline ✕ prunes one list without wiping the form.</t>
        </is>
      </c>
      <c r="E109" s="2" t="inlineStr">
        <is>
          <t xml:space="preserve">Remove a suggestion while half-way through typing a contact: the option goes and everything already typed underneath is still there.</t>
        </is>
      </c>
      <c r="F109" s="4" t="inlineStr">
        <is>
          <t xml:space="preserve">REGRESSION</t>
        </is>
      </c>
      <c r="G109" s="4" t="inlineStr">
        <is>
          <t xml:space="preserve">Not run</t>
        </is>
      </c>
      <c r="H109" s="2"/>
      <c r="I109" s="7"/>
      <c r="J109" s="2"/>
    </row>
    <row r="110">
      <c r="A110" s="3" t="inlineStr">
        <is>
          <t xml:space="preserve">CC-13</t>
        </is>
      </c>
      <c r="B110" s="2" t="inlineStr">
        <is>
          <t xml:space="preserve">Company Contacts</t>
        </is>
      </c>
      <c r="C110" s="2" t="inlineStr">
        <is>
          <t xml:space="preserve">The fields editor</t>
        </is>
      </c>
      <c r="D110" s="2" t="inlineStr">
        <is>
          <t xml:space="preserve">The file field is the App Builder's uploader, and mirrors to the right Drive folder.</t>
        </is>
      </c>
      <c r="E110" s="2" t="inlineStr">
        <is>
          <t xml:space="preserve">Not "App / Workspace files / Attached files" — the contacts folder.</t>
        </is>
      </c>
      <c r="F110" s="4"/>
      <c r="G110" s="4" t="inlineStr">
        <is>
          <t xml:space="preserve">Not run</t>
        </is>
      </c>
      <c r="H110" s="2"/>
      <c r="I110" s="7"/>
      <c r="J110" s="2"/>
    </row>
    <row r="111">
      <c r="A111" s="3" t="inlineStr">
        <is>
          <t xml:space="preserve">CC-14</t>
        </is>
      </c>
      <c r="B111" s="2" t="inlineStr">
        <is>
          <t xml:space="preserve">Company Contacts</t>
        </is>
      </c>
      <c r="C111" s="2" t="inlineStr">
        <is>
          <t xml:space="preserve">The fields editor</t>
        </is>
      </c>
      <c r="D111" s="2" t="inlineStr">
        <is>
          <t xml:space="preserve">The location field keeps its map pin after being renamed.</t>
        </is>
      </c>
      <c r="E111" s="2" t="inlineStr">
        <is>
          <t xml:space="preserve">Rename it to "Job site" and the pin is still a control.</t>
        </is>
      </c>
      <c r="F111" s="4"/>
      <c r="G111" s="4" t="inlineStr">
        <is>
          <t xml:space="preserve">Not run</t>
        </is>
      </c>
      <c r="H111" s="2"/>
      <c r="I111" s="7"/>
      <c r="J111" s="2"/>
    </row>
    <row r="112">
      <c r="A112" s="3" t="inlineStr">
        <is>
          <t xml:space="preserve">CC-15</t>
        </is>
      </c>
      <c r="B112" s="2" t="inlineStr">
        <is>
          <t xml:space="preserve">Company Contacts</t>
        </is>
      </c>
      <c r="C112" s="2" t="inlineStr">
        <is>
          <t xml:space="preserve">The form, drafts and access</t>
        </is>
      </c>
      <c r="D112" s="2" t="inlineStr">
        <is>
          <t xml:space="preserve">An interrupted contact is recoverable.</t>
        </is>
      </c>
      <c r="E112" s="2" t="inlineStr">
        <is>
          <t xml:space="preserve">Start a new contact, type into it, close the tab, come back: Restore or Discard is offered. Restore brings back the exact values; Discard leaves no contact behind.</t>
        </is>
      </c>
      <c r="F112" s="4" t="inlineStr">
        <is>
          <t xml:space="preserve">NEW</t>
        </is>
      </c>
      <c r="G112" s="4" t="inlineStr">
        <is>
          <t xml:space="preserve">Not run</t>
        </is>
      </c>
      <c r="H112" s="2"/>
      <c r="I112" s="7"/>
      <c r="J112" s="2"/>
    </row>
    <row r="113">
      <c r="A113" s="3" t="inlineStr">
        <is>
          <t xml:space="preserve">CC-16</t>
        </is>
      </c>
      <c r="B113" s="2" t="inlineStr">
        <is>
          <t xml:space="preserve">Company Contacts</t>
        </is>
      </c>
      <c r="C113" s="2" t="inlineStr">
        <is>
          <t xml:space="preserve">The form, drafts and access</t>
        </is>
      </c>
      <c r="D113" s="2" t="inlineStr">
        <is>
          <t xml:space="preserve">The draft is keyed to the company, not the workspace.</t>
        </is>
      </c>
      <c r="E113" s="2" t="inlineStr">
        <is>
          <t xml:space="preserve">Half-fill a contact, switch workspace, come back — the recovery is still offered.</t>
        </is>
      </c>
      <c r="F113" s="4" t="inlineStr">
        <is>
          <t xml:space="preserve">NEW</t>
        </is>
      </c>
      <c r="G113" s="4" t="inlineStr">
        <is>
          <t xml:space="preserve">Not run</t>
        </is>
      </c>
      <c r="H113" s="2"/>
      <c r="I113" s="7"/>
      <c r="J113" s="2"/>
    </row>
    <row r="114">
      <c r="A114" s="3" t="inlineStr">
        <is>
          <t xml:space="preserve">CC-17</t>
        </is>
      </c>
      <c r="B114" s="2" t="inlineStr">
        <is>
          <t xml:space="preserve">Company Contacts</t>
        </is>
      </c>
      <c r="C114" s="2" t="inlineStr">
        <is>
          <t xml:space="preserve">The form, drafts and access</t>
        </is>
      </c>
      <c r="D114" s="2" t="inlineStr">
        <is>
          <t xml:space="preserve">A failed save keeps the draft; a save that lands clears it.</t>
        </is>
      </c>
      <c r="E114" s="2" t="inlineStr">
        <is>
          <t xml:space="preserve">Save offline or with the write refused: the typing survives. Save successfully: reopening the form offers nothing.</t>
        </is>
      </c>
      <c r="F114" s="4" t="inlineStr">
        <is>
          <t xml:space="preserve">NEW</t>
        </is>
      </c>
      <c r="G114" s="4" t="inlineStr">
        <is>
          <t xml:space="preserve">Not run</t>
        </is>
      </c>
      <c r="H114" s="2"/>
      <c r="I114" s="7"/>
      <c r="J114" s="2"/>
    </row>
    <row r="115">
      <c r="A115" s="3" t="inlineStr">
        <is>
          <t xml:space="preserve">CC-18</t>
        </is>
      </c>
      <c r="B115" s="2" t="inlineStr">
        <is>
          <t xml:space="preserve">Company Contacts</t>
        </is>
      </c>
      <c r="C115" s="2" t="inlineStr">
        <is>
          <t xml:space="preserve">The form, drafts and access</t>
        </is>
      </c>
      <c r="D115" s="2" t="inlineStr">
        <is>
          <t xml:space="preserve">Each field type collects the control it deserves.</t>
        </is>
      </c>
      <c r="E115" s="2" t="inlineStr">
        <is>
          <t xml:space="preserve">Text, long text, number, money, phone, email, location, file, category, yes/no and date — not eleven labelled text boxes.</t>
        </is>
      </c>
      <c r="F115" s="4"/>
      <c r="G115" s="4" t="inlineStr">
        <is>
          <t xml:space="preserve">Not run</t>
        </is>
      </c>
      <c r="H115" s="2"/>
      <c r="I115" s="7"/>
      <c r="J115" s="2"/>
    </row>
    <row r="116">
      <c r="A116" s="3" t="inlineStr">
        <is>
          <t xml:space="preserve">CC-19</t>
        </is>
      </c>
      <c r="B116" s="2" t="inlineStr">
        <is>
          <t xml:space="preserve">Company Contacts</t>
        </is>
      </c>
      <c r="C116" s="2" t="inlineStr">
        <is>
          <t xml:space="preserve">The form, drafts and access</t>
        </is>
      </c>
      <c r="D116" s="2" t="inlineStr">
        <is>
          <t xml:space="preserve">company_contacts.view reads and cannot edit.</t>
        </is>
      </c>
      <c r="E116" s="2" t="inlineStr">
        <is>
          <t xml:space="preserve">No Fields button, no New contact, no Edit info on the card.</t>
        </is>
      </c>
      <c r="F116" s="4"/>
      <c r="G116" s="4" t="inlineStr">
        <is>
          <t xml:space="preserve">Not run</t>
        </is>
      </c>
      <c r="H116" s="2"/>
      <c r="I116" s="7"/>
      <c r="J116" s="2"/>
    </row>
    <row r="117">
      <c r="A117" s="3" t="inlineStr">
        <is>
          <t xml:space="preserve">CC-20</t>
        </is>
      </c>
      <c r="B117" s="2" t="inlineStr">
        <is>
          <t xml:space="preserve">Company Contacts</t>
        </is>
      </c>
      <c r="C117" s="2" t="inlineStr">
        <is>
          <t xml:space="preserve">The form, drafts and access</t>
        </is>
      </c>
      <c r="D117" s="2" t="inlineStr">
        <is>
          <t xml:space="preserve">A contact created automatically from an app save lands here with just its name.</t>
        </is>
      </c>
      <c r="E117" s="2"/>
      <c r="F117" s="4"/>
      <c r="G117" s="4" t="inlineStr">
        <is>
          <t xml:space="preserve">Not run</t>
        </is>
      </c>
      <c r="H117" s="2"/>
      <c r="I117" s="7"/>
      <c r="J117" s="2"/>
    </row>
    <row r="118">
      <c r="A118" s="3" t="inlineStr">
        <is>
          <t xml:space="preserve">CC-21</t>
        </is>
      </c>
      <c r="B118" s="2" t="inlineStr">
        <is>
          <t xml:space="preserve">Company Contacts</t>
        </is>
      </c>
      <c r="C118" s="2" t="inlineStr">
        <is>
          <t xml:space="preserve">The form, drafts and access</t>
        </is>
      </c>
      <c r="D118" s="2" t="inlineStr">
        <is>
          <t xml:space="preserve">A contact is visible in every workspace of its company, and in no other company.</t>
        </is>
      </c>
      <c r="E118" s="2"/>
      <c r="F118" s="4"/>
      <c r="G118" s="4" t="inlineStr">
        <is>
          <t xml:space="preserve">Not run</t>
        </is>
      </c>
      <c r="H118" s="2"/>
      <c r="I118" s="7"/>
      <c r="J118" s="2"/>
    </row>
    <row r="119">
      <c r="A119" s="3" t="inlineStr">
        <is>
          <t xml:space="preserve">CC-22</t>
        </is>
      </c>
      <c r="B119" s="2" t="inlineStr">
        <is>
          <t xml:space="preserve">Company Contacts</t>
        </is>
      </c>
      <c r="C119" s="2" t="inlineStr">
        <is>
          <t xml:space="preserve">The form, drafts and access</t>
        </is>
      </c>
      <c r="D119" s="2" t="inlineStr">
        <is>
          <t xml:space="preserve">A deleted contact leaves a visible broken chip on records that used it, not an empty cell.</t>
        </is>
      </c>
      <c r="E119" s="2"/>
      <c r="F119" s="4"/>
      <c r="G119" s="4" t="inlineStr">
        <is>
          <t xml:space="preserve">Not run</t>
        </is>
      </c>
      <c r="H119" s="2"/>
      <c r="I119" s="7"/>
      <c r="J119" s="2"/>
    </row>
    <row r="120">
      <c r="A120" s="3" t="inlineStr">
        <is>
          <t xml:space="preserve">CARD-01</t>
        </is>
      </c>
      <c r="B120" s="2" t="inlineStr">
        <is>
          <t xml:space="preserve">Contact card</t>
        </is>
      </c>
      <c r="C120" s="2" t="inlineStr">
        <is>
          <t xml:space="preserve">Head and tiles</t>
        </is>
      </c>
      <c r="D120" s="2" t="inlineStr">
        <is>
          <t xml:space="preserve">A directory row opens the card by click and by keyboard.</t>
        </is>
      </c>
      <c r="E120" s="2" t="inlineStr">
        <is>
          <t xml:space="preserve">The crumb and the Back to Company Contacts button both return.</t>
        </is>
      </c>
      <c r="F120" s="4"/>
      <c r="G120" s="4" t="inlineStr">
        <is>
          <t xml:space="preserve">Not run</t>
        </is>
      </c>
      <c r="H120" s="2"/>
      <c r="I120" s="7"/>
      <c r="J120" s="2"/>
    </row>
    <row r="121">
      <c r="A121" s="3" t="inlineStr">
        <is>
          <t xml:space="preserve">CARD-02</t>
        </is>
      </c>
      <c r="B121" s="2" t="inlineStr">
        <is>
          <t xml:space="preserve">Contact card</t>
        </is>
      </c>
      <c r="C121" s="2" t="inlineStr">
        <is>
          <t xml:space="preserve">Head and tiles</t>
        </is>
      </c>
      <c r="D121" s="2" t="inlineStr">
        <is>
          <t xml:space="preserve">The head reads as a person.</t>
        </is>
      </c>
      <c r="E121" s="2" t="inlineStr">
        <is>
          <t xml:space="preserve">Initials avatar tinted by the type, the type chip, and the short fields as one summary line — "No details on file" where there are none.</t>
        </is>
      </c>
      <c r="F121" s="4"/>
      <c r="G121" s="4" t="inlineStr">
        <is>
          <t xml:space="preserve">Not run</t>
        </is>
      </c>
      <c r="H121" s="2"/>
      <c r="I121" s="7"/>
      <c r="J121" s="2"/>
    </row>
    <row r="122">
      <c r="A122" s="3" t="inlineStr">
        <is>
          <t xml:space="preserve">CARD-03</t>
        </is>
      </c>
      <c r="B122" s="2" t="inlineStr">
        <is>
          <t xml:space="preserve">Contact card</t>
        </is>
      </c>
      <c r="C122" s="2" t="inlineStr">
        <is>
          <t xml:space="preserve">Head and tiles</t>
        </is>
      </c>
      <c r="D122" s="2" t="inlineStr">
        <is>
          <t xml:space="preserve">Four tiles: Open balance, Active records, Workspaces, Last touch.</t>
        </is>
      </c>
      <c r="E122" s="2" t="inlineStr">
        <is>
          <t xml:space="preserve">Balance is across every workspace; Active records names the app count; Workspaces counts the distinct ones using this contact.</t>
        </is>
      </c>
      <c r="F122" s="4"/>
      <c r="G122" s="4" t="inlineStr">
        <is>
          <t xml:space="preserve">Not run</t>
        </is>
      </c>
      <c r="H122" s="2"/>
      <c r="I122" s="7"/>
      <c r="J122" s="2"/>
    </row>
    <row r="123">
      <c r="A123" s="3" t="inlineStr">
        <is>
          <t xml:space="preserve">CARD-04</t>
        </is>
      </c>
      <c r="B123" s="2" t="inlineStr">
        <is>
          <t xml:space="preserve">Contact card</t>
        </is>
      </c>
      <c r="C123" s="2" t="inlineStr">
        <is>
          <t xml:space="preserve">Head and tiles</t>
        </is>
      </c>
      <c r="D123" s="2" t="inlineStr">
        <is>
          <t xml:space="preserve">The detail grid shows every filled field, hidden ones included.</t>
        </is>
      </c>
      <c r="E123" s="2" t="inlineStr">
        <is>
          <t xml:space="preserve">Files render as links that open. A card that quietly omitted a detail would be a card you cannot trust.</t>
        </is>
      </c>
      <c r="F123" s="4"/>
      <c r="G123" s="4" t="inlineStr">
        <is>
          <t xml:space="preserve">Not run</t>
        </is>
      </c>
      <c r="H123" s="2"/>
      <c r="I123" s="7"/>
      <c r="J123" s="2"/>
    </row>
    <row r="124">
      <c r="A124" s="3" t="inlineStr">
        <is>
          <t xml:space="preserve">CARD-05</t>
        </is>
      </c>
      <c r="B124" s="2" t="inlineStr">
        <is>
          <t xml:space="preserve">Contact card</t>
        </is>
      </c>
      <c r="C124" s="2" t="inlineStr">
        <is>
          <t xml:space="preserve">In flight</t>
        </is>
      </c>
      <c r="D124" s="2" t="inlineStr">
        <is>
          <t xml:space="preserve">Rows group by app and workspace, with a count and a balance.</t>
        </is>
      </c>
      <c r="E124" s="2"/>
      <c r="F124" s="4"/>
      <c r="G124" s="4" t="inlineStr">
        <is>
          <t xml:space="preserve">Not run</t>
        </is>
      </c>
      <c r="H124" s="2"/>
      <c r="I124" s="7"/>
      <c r="J124" s="2"/>
    </row>
    <row r="125">
      <c r="A125" s="3" t="inlineStr">
        <is>
          <t xml:space="preserve">CARD-06</t>
        </is>
      </c>
      <c r="B125" s="2" t="inlineStr">
        <is>
          <t xml:space="preserve">Contact card</t>
        </is>
      </c>
      <c r="C125" s="2" t="inlineStr">
        <is>
          <t xml:space="preserve">In flight</t>
        </is>
      </c>
      <c r="D125" s="2" t="inlineStr">
        <is>
          <t xml:space="preserve">A row says where the work has got to.</t>
        </is>
      </c>
      <c r="E125" s="2" t="inlineStr">
        <is>
          <t xml:space="preserve">The stage in its own colour (a status field, else a category), the duration where the app has one, up to two typed dates, plus Created and Last modified where the app carries those field types, and "Edited 8m ago".</t>
        </is>
      </c>
      <c r="F125" s="4"/>
      <c r="G125" s="4" t="inlineStr">
        <is>
          <t xml:space="preserve">Not run</t>
        </is>
      </c>
      <c r="H125" s="2"/>
      <c r="I125" s="7"/>
      <c r="J125" s="2"/>
    </row>
    <row r="126">
      <c r="A126" s="3" t="inlineStr">
        <is>
          <t xml:space="preserve">CARD-07</t>
        </is>
      </c>
      <c r="B126" s="2" t="inlineStr">
        <is>
          <t xml:space="preserve">Contact card</t>
        </is>
      </c>
      <c r="C126" s="2" t="inlineStr">
        <is>
          <t xml:space="preserve">In flight</t>
        </is>
      </c>
      <c r="D126" s="2" t="inlineStr">
        <is>
          <t xml:space="preserve">Every part is optional.</t>
        </is>
      </c>
      <c r="E126" s="2" t="inlineStr">
        <is>
          <t xml:space="preserve">An app with no status field contributes no stage rather than an empty slot, and an app with its own Last modified field does not also say "Edited …".</t>
        </is>
      </c>
      <c r="F126" s="4"/>
      <c r="G126" s="4" t="inlineStr">
        <is>
          <t xml:space="preserve">Not run</t>
        </is>
      </c>
      <c r="H126" s="2"/>
      <c r="I126" s="7"/>
      <c r="J126" s="2"/>
    </row>
    <row r="127">
      <c r="A127" s="3" t="inlineStr">
        <is>
          <t xml:space="preserve">CARD-08</t>
        </is>
      </c>
      <c r="B127" s="2" t="inlineStr">
        <is>
          <t xml:space="preserve">Contact card</t>
        </is>
      </c>
      <c r="C127" s="2" t="inlineStr">
        <is>
          <t xml:space="preserve">In flight</t>
        </is>
      </c>
      <c r="D127" s="2" t="inlineStr">
        <is>
          <t xml:space="preserve">Rows are newest first, and only five per app before "+N more".</t>
        </is>
      </c>
      <c r="E127" s="2"/>
      <c r="F127" s="4"/>
      <c r="G127" s="4" t="inlineStr">
        <is>
          <t xml:space="preserve">Not run</t>
        </is>
      </c>
      <c r="H127" s="2"/>
      <c r="I127" s="7"/>
      <c r="J127" s="2"/>
    </row>
    <row r="128">
      <c r="A128" s="3" t="inlineStr">
        <is>
          <t xml:space="preserve">CARD-09</t>
        </is>
      </c>
      <c r="B128" s="2" t="inlineStr">
        <is>
          <t xml:space="preserve">Contact card</t>
        </is>
      </c>
      <c r="C128" s="2" t="inlineStr">
        <is>
          <t xml:space="preserve">In flight</t>
        </is>
      </c>
      <c r="D128" s="2" t="inlineStr">
        <is>
          <t xml:space="preserve">A row opens the record.</t>
        </is>
      </c>
      <c r="E128" s="2" t="inlineStr">
        <is>
          <t xml:space="preserve">The right workspace, the right app, the right record selected. These once all landed on the workspaces section with nothing open, because the link used the wrong parameter names.</t>
        </is>
      </c>
      <c r="F128" s="4" t="inlineStr">
        <is>
          <t xml:space="preserve">REGRESSION</t>
        </is>
      </c>
      <c r="G128" s="4" t="inlineStr">
        <is>
          <t xml:space="preserve">Not run</t>
        </is>
      </c>
      <c r="H128" s="2"/>
      <c r="I128" s="7"/>
      <c r="J128" s="2"/>
    </row>
    <row r="129">
      <c r="A129" s="3" t="inlineStr">
        <is>
          <t xml:space="preserve">CARD-10</t>
        </is>
      </c>
      <c r="B129" s="2" t="inlineStr">
        <is>
          <t xml:space="preserve">Contact card</t>
        </is>
      </c>
      <c r="C129" s="2" t="inlineStr">
        <is>
          <t xml:space="preserve">In flight</t>
        </is>
      </c>
      <c r="D129" s="2" t="inlineStr">
        <is>
          <t xml:space="preserve">A builder-only workspace with no route renders as plain text.</t>
        </is>
      </c>
      <c r="E129" s="2" t="inlineStr">
        <is>
          <t xml:space="preserve">Not a link to nowhere.</t>
        </is>
      </c>
      <c r="F129" s="4"/>
      <c r="G129" s="4" t="inlineStr">
        <is>
          <t xml:space="preserve">Not run</t>
        </is>
      </c>
      <c r="H129" s="2"/>
      <c r="I129" s="7"/>
      <c r="J129" s="2"/>
    </row>
    <row r="130">
      <c r="A130" s="3" t="inlineStr">
        <is>
          <t xml:space="preserve">CARD-11</t>
        </is>
      </c>
      <c r="B130" s="2" t="inlineStr">
        <is>
          <t xml:space="preserve">Contact card</t>
        </is>
      </c>
      <c r="C130" s="2" t="inlineStr">
        <is>
          <t xml:space="preserve">In flight</t>
        </is>
      </c>
      <c r="D130" s="2" t="inlineStr">
        <is>
          <t xml:space="preserve">A record with no text field is still named properly.</t>
        </is>
      </c>
      <c r="E130" s="2" t="inlineStr">
        <is>
          <t xml:space="preserve">An Underwriter case titles by its first filled field, formatted — a status as its label, money as an amount. Never "Case -ff7", and never a bare id.</t>
        </is>
      </c>
      <c r="F130" s="4" t="inlineStr">
        <is>
          <t xml:space="preserve">REGRESSION</t>
        </is>
      </c>
      <c r="G130" s="4" t="inlineStr">
        <is>
          <t xml:space="preserve">Not run</t>
        </is>
      </c>
      <c r="H130" s="2"/>
      <c r="I130" s="7"/>
      <c r="J130" s="2"/>
    </row>
    <row r="131">
      <c r="A131" s="3" t="inlineStr">
        <is>
          <t xml:space="preserve">CARD-12</t>
        </is>
      </c>
      <c r="B131" s="2" t="inlineStr">
        <is>
          <t xml:space="preserve">Contact card</t>
        </is>
      </c>
      <c r="C131" s="2" t="inlineStr">
        <is>
          <t xml:space="preserve">In flight</t>
        </is>
      </c>
      <c r="D131" s="2" t="inlineStr">
        <is>
          <t xml:space="preserve">A record whose Show field is a Company Contact shows the name.</t>
        </is>
      </c>
      <c r="E131" s="2" t="inlineStr">
        <is>
          <t xml:space="preserve">Not cc-00cecde3-1e52-…. Where the contact is gone, the record falls back to its own title.</t>
        </is>
      </c>
      <c r="F131" s="4" t="inlineStr">
        <is>
          <t xml:space="preserve">REGRESSION</t>
        </is>
      </c>
      <c r="G131" s="4" t="inlineStr">
        <is>
          <t xml:space="preserve">Not run</t>
        </is>
      </c>
      <c r="H131" s="2"/>
      <c r="I131" s="7"/>
      <c r="J131" s="2"/>
    </row>
    <row r="132">
      <c r="A132" s="3" t="inlineStr">
        <is>
          <t xml:space="preserve">CARD-13</t>
        </is>
      </c>
      <c r="B132" s="2" t="inlineStr">
        <is>
          <t xml:space="preserve">Contact card</t>
        </is>
      </c>
      <c r="C132" s="2" t="inlineStr">
        <is>
          <t xml:space="preserve">Recent updates and the diary</t>
        </is>
      </c>
      <c r="D132" s="2" t="inlineStr">
        <is>
          <t xml:space="preserve">The Notes panel takes its heading from the first long-text field.</t>
        </is>
      </c>
      <c r="E132" s="2" t="inlineStr">
        <is>
          <t xml:space="preserve">"Nothing written down yet." where there is none.</t>
        </is>
      </c>
      <c r="F132" s="4"/>
      <c r="G132" s="4" t="inlineStr">
        <is>
          <t xml:space="preserve">Not run</t>
        </is>
      </c>
      <c r="H132" s="2"/>
      <c r="I132" s="7"/>
      <c r="J132" s="2"/>
    </row>
    <row r="133">
      <c r="A133" s="3" t="inlineStr">
        <is>
          <t xml:space="preserve">CARD-14</t>
        </is>
      </c>
      <c r="B133" s="2" t="inlineStr">
        <is>
          <t xml:space="preserve">Contact card</t>
        </is>
      </c>
      <c r="C133" s="2" t="inlineStr">
        <is>
          <t xml:space="preserve">Recent updates and the diary</t>
        </is>
      </c>
      <c r="D133" s="2" t="inlineStr">
        <is>
          <t xml:space="preserve">Recent updates is the feed read through one person.</t>
        </is>
      </c>
      <c r="E133" s="2" t="inlineStr">
        <is>
          <t xml:space="preserve">Only entries on records naming this contact, newest first, capped at twelve, each naming the app, who did it and how long ago, and each linking out.</t>
        </is>
      </c>
      <c r="F133" s="4"/>
      <c r="G133" s="4" t="inlineStr">
        <is>
          <t xml:space="preserve">Not run</t>
        </is>
      </c>
      <c r="H133" s="2"/>
      <c r="I133" s="7"/>
      <c r="J133" s="2"/>
    </row>
    <row r="134">
      <c r="A134" s="3" t="inlineStr">
        <is>
          <t xml:space="preserve">CARD-15</t>
        </is>
      </c>
      <c r="B134" s="2" t="inlineStr">
        <is>
          <t xml:space="preserve">Contact card</t>
        </is>
      </c>
      <c r="C134" s="2" t="inlineStr">
        <is>
          <t xml:space="preserve">Recent updates and the diary</t>
        </is>
      </c>
      <c r="D134" s="2" t="inlineStr">
        <is>
          <t xml:space="preserve">An entry naming no record does not appear.</t>
        </is>
      </c>
      <c r="E134" s="2" t="inlineStr">
        <is>
          <t xml:space="preserve">Rename an app and confirm it does not turn up on somebody's card.</t>
        </is>
      </c>
      <c r="F134" s="4"/>
      <c r="G134" s="4" t="inlineStr">
        <is>
          <t xml:space="preserve">Not run</t>
        </is>
      </c>
      <c r="H134" s="2"/>
      <c r="I134" s="7"/>
      <c r="J134" s="2"/>
    </row>
    <row r="135">
      <c r="A135" s="3" t="inlineStr">
        <is>
          <t xml:space="preserve">CARD-16</t>
        </is>
      </c>
      <c r="B135" s="2" t="inlineStr">
        <is>
          <t xml:space="preserve">Contact card</t>
        </is>
      </c>
      <c r="C135" s="2" t="inlineStr">
        <is>
          <t xml:space="preserve">Recent updates and the diary</t>
        </is>
      </c>
      <c r="D135" s="2" t="inlineStr">
        <is>
          <t xml:space="preserve">Four calendar views, one shape.</t>
        </is>
      </c>
      <c r="E135" s="2" t="inlineStr">
        <is>
          <t xml:space="preserve">Year is twelve month cells with counts; Month is 42 cells of whole weeks with neighbouring days marked outside; Week and Day list the entries themselves.</t>
        </is>
      </c>
      <c r="F135" s="4"/>
      <c r="G135" s="4" t="inlineStr">
        <is>
          <t xml:space="preserve">Not run</t>
        </is>
      </c>
      <c r="H135" s="2"/>
      <c r="I135" s="7"/>
      <c r="J135" s="2"/>
    </row>
    <row r="136">
      <c r="A136" s="3" t="inlineStr">
        <is>
          <t xml:space="preserve">CARD-17</t>
        </is>
      </c>
      <c r="B136" s="2" t="inlineStr">
        <is>
          <t xml:space="preserve">Contact card</t>
        </is>
      </c>
      <c r="C136" s="2" t="inlineStr">
        <is>
          <t xml:space="preserve">Recent updates and the diary</t>
        </is>
      </c>
      <c r="D136" s="2" t="inlineStr">
        <is>
          <t xml:space="preserve">Weeks run Monday to Sunday.</t>
        </is>
      </c>
      <c r="E136" s="2"/>
      <c r="F136" s="4"/>
      <c r="G136" s="4" t="inlineStr">
        <is>
          <t xml:space="preserve">Not run</t>
        </is>
      </c>
      <c r="H136" s="2"/>
      <c r="I136" s="7"/>
      <c r="J136" s="2"/>
    </row>
    <row r="137">
      <c r="A137" s="3" t="inlineStr">
        <is>
          <t xml:space="preserve">CARD-18</t>
        </is>
      </c>
      <c r="B137" s="2" t="inlineStr">
        <is>
          <t xml:space="preserve">Contact card</t>
        </is>
      </c>
      <c r="C137" s="2" t="inlineStr">
        <is>
          <t xml:space="preserve">Recent updates and the diary</t>
        </is>
      </c>
      <c r="D137" s="2" t="inlineStr">
        <is>
          <t xml:space="preserve">Created and Last modified are excluded from the calendar.</t>
        </is>
      </c>
      <c r="E137" s="2" t="inlineStr">
        <is>
          <t xml:space="preserve">It shows days somebody chose. Those two already read better in the feed above.</t>
        </is>
      </c>
      <c r="F137" s="4"/>
      <c r="G137" s="4" t="inlineStr">
        <is>
          <t xml:space="preserve">Not run</t>
        </is>
      </c>
      <c r="H137" s="2"/>
      <c r="I137" s="7"/>
      <c r="J137" s="2"/>
    </row>
    <row r="138">
      <c r="A138" s="3" t="inlineStr">
        <is>
          <t xml:space="preserve">CARD-19</t>
        </is>
      </c>
      <c r="B138" s="2" t="inlineStr">
        <is>
          <t xml:space="preserve">Contact card</t>
        </is>
      </c>
      <c r="C138" s="2" t="inlineStr">
        <is>
          <t xml:space="preserve">Recent updates and the diary</t>
        </is>
      </c>
      <c r="D138" s="2" t="inlineStr">
        <is>
          <t xml:space="preserve">A date on 20 Aug lands on 20 Aug.</t>
        </is>
      </c>
      <c r="E138" s="2" t="inlineStr">
        <is>
          <t xml:space="preserve">Check from a timezone behind and ahead of UTC — the day is read locally, and a calendar that draws the wrong square is worse than none.</t>
        </is>
      </c>
      <c r="F138" s="4"/>
      <c r="G138" s="4" t="inlineStr">
        <is>
          <t xml:space="preserve">Not run</t>
        </is>
      </c>
      <c r="H138" s="2"/>
      <c r="I138" s="7"/>
      <c r="J138" s="2"/>
    </row>
    <row r="139">
      <c r="A139" s="3" t="inlineStr">
        <is>
          <t xml:space="preserve">CARD-20</t>
        </is>
      </c>
      <c r="B139" s="2" t="inlineStr">
        <is>
          <t xml:space="preserve">Contact card</t>
        </is>
      </c>
      <c r="C139" s="2" t="inlineStr">
        <is>
          <t xml:space="preserve">Recent updates and the diary</t>
        </is>
      </c>
      <c r="D139" s="2" t="inlineStr">
        <is>
          <t xml:space="preserve">February 2028 and a December-to-January step draw correctly.</t>
        </is>
      </c>
      <c r="E139" s="2"/>
      <c r="F139" s="4"/>
      <c r="G139" s="4" t="inlineStr">
        <is>
          <t xml:space="preserve">Not run</t>
        </is>
      </c>
      <c r="H139" s="2"/>
      <c r="I139" s="7"/>
      <c r="J139" s="2"/>
    </row>
    <row r="140">
      <c r="A140" s="3" t="inlineStr">
        <is>
          <t xml:space="preserve">CARD-21</t>
        </is>
      </c>
      <c r="B140" s="2" t="inlineStr">
        <is>
          <t xml:space="preserve">Contact card</t>
        </is>
      </c>
      <c r="C140" s="2" t="inlineStr">
        <is>
          <t xml:space="preserve">Recent updates and the diary</t>
        </is>
      </c>
      <c r="D140" s="2" t="inlineStr">
        <is>
          <t xml:space="preserve">The card is a window, not a workbench.</t>
        </is>
      </c>
      <c r="E140" s="2" t="inlineStr">
        <is>
          <t xml:space="preserve">Edit info is the only control; every row is a link with no nested buttons inside it.</t>
        </is>
      </c>
      <c r="F140" s="4"/>
      <c r="G140" s="4" t="inlineStr">
        <is>
          <t xml:space="preserve">Not run</t>
        </is>
      </c>
      <c r="H140" s="2"/>
      <c r="I140" s="7"/>
      <c r="J140" s="2"/>
    </row>
  </sheetData>
  <autoFilter ref="A1:J140"/>
  <conditionalFormatting sqref="G2:G140">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run"</formula>
    </cfRule>
  </conditionalFormatting>
  <dataValidations count="1">
    <dataValidation type="list" allowBlank="1" showInputMessage="1" showErrorMessage="1" sqref="G2:G140">
      <formula1>"Not run,Pass,Fail,Blocked,N/A"</formula1>
    </dataValidation>
  </dataValidations>
</worksheet>
</file>

<file path=xl/worksheets/sheet2.xml><?xml version="1.0" encoding="utf-8"?>
<worksheet xmlns="http://schemas.openxmlformats.org/spreadsheetml/2006/main">
  <sheetViews>
    <sheetView showGridLines="0" workbookViewId="0"/>
  </sheetViews>
  <sheetFormatPr defaultRowHeight="15"/>
  <cols>
    <col min="1" max="1" width="46" customWidth="1"/>
    <col min="2" max="8" width="12" customWidth="1"/>
  </cols>
  <sheetData>
    <row r="1" ht="24" customHeight="1">
      <c r="A1" s="5" t="inlineStr">
        <is>
          <t xml:space="preserve">Questbase QA pass — where it stands</t>
        </is>
      </c>
    </row>
    <row r="2">
      <c r="A2" s="6" t="inlineStr">
        <is>
          <t xml:space="preserve">Counts recalculate from the Checks sheet. Set each row’s Status there.</t>
        </is>
      </c>
    </row>
    <row r="4" ht="24" customHeight="1">
      <c r="A4" s="1" t="inlineStr">
        <is>
          <t xml:space="preserve">Area</t>
        </is>
      </c>
      <c r="B4" s="1" t="inlineStr">
        <is>
          <t xml:space="preserve">Checks</t>
        </is>
      </c>
      <c r="C4" s="1" t="inlineStr">
        <is>
          <t xml:space="preserve">Pass</t>
        </is>
      </c>
      <c r="D4" s="1" t="inlineStr">
        <is>
          <t xml:space="preserve">Fail</t>
        </is>
      </c>
      <c r="E4" s="1" t="inlineStr">
        <is>
          <t xml:space="preserve">Blocked</t>
        </is>
      </c>
      <c r="F4" s="1" t="inlineStr">
        <is>
          <t xml:space="preserve">Not run</t>
        </is>
      </c>
      <c r="G4" s="1" t="inlineStr">
        <is>
          <t xml:space="preserve">New</t>
        </is>
      </c>
      <c r="H4" s="1" t="inlineStr">
        <is>
          <t xml:space="preserve">Regression</t>
        </is>
      </c>
    </row>
    <row r="5">
      <c r="A5" s="2" t="inlineStr">
        <is>
          <t xml:space="preserve">Workspace app</t>
        </is>
      </c>
      <c r="B5" s="4">
        <f>COUNTIF(Checks!$B$2:$B$140,$A5)</f>
      </c>
      <c r="C5" s="4">
        <f>COUNTIFS(Checks!$B$2:$B$140,$A5,Checks!$G$2:$G$140,"Pass")</f>
      </c>
      <c r="D5" s="4">
        <f>COUNTIFS(Checks!$B$2:$B$140,$A5,Checks!$G$2:$G$140,"Fail")</f>
      </c>
      <c r="E5" s="4">
        <f>COUNTIFS(Checks!$B$2:$B$140,$A5,Checks!$G$2:$G$140,"Blocked")</f>
      </c>
      <c r="F5" s="4">
        <f>COUNTIFS(Checks!$B$2:$B$140,$A5,Checks!$G$2:$G$140,"Not run")</f>
      </c>
      <c r="G5" s="4">
        <f>COUNTIFS(Checks!$B$2:$B$140,$A5,Checks!$F$2:$F$140,"NEW")</f>
      </c>
      <c r="H5" s="4">
        <f>COUNTIFS(Checks!$B$2:$B$140,$A5,Checks!$F$2:$F$140,"REGRESSION")</f>
      </c>
    </row>
    <row r="6">
      <c r="A6" s="2" t="inlineStr">
        <is>
          <t xml:space="preserve">Workspace App Builder</t>
        </is>
      </c>
      <c r="B6" s="4">
        <f>COUNTIF(Checks!$B$2:$B$140,$A6)</f>
      </c>
      <c r="C6" s="4">
        <f>COUNTIFS(Checks!$B$2:$B$140,$A6,Checks!$G$2:$G$140,"Pass")</f>
      </c>
      <c r="D6" s="4">
        <f>COUNTIFS(Checks!$B$2:$B$140,$A6,Checks!$G$2:$G$140,"Fail")</f>
      </c>
      <c r="E6" s="4">
        <f>COUNTIFS(Checks!$B$2:$B$140,$A6,Checks!$G$2:$G$140,"Blocked")</f>
      </c>
      <c r="F6" s="4">
        <f>COUNTIFS(Checks!$B$2:$B$140,$A6,Checks!$G$2:$G$140,"Not run")</f>
      </c>
      <c r="G6" s="4">
        <f>COUNTIFS(Checks!$B$2:$B$140,$A6,Checks!$F$2:$F$140,"NEW")</f>
      </c>
      <c r="H6" s="4">
        <f>COUNTIFS(Checks!$B$2:$B$140,$A6,Checks!$F$2:$F$140,"REGRESSION")</f>
      </c>
    </row>
    <row r="7">
      <c r="A7" s="2" t="inlineStr">
        <is>
          <t xml:space="preserve">App fields</t>
        </is>
      </c>
      <c r="B7" s="4">
        <f>COUNTIF(Checks!$B$2:$B$140,$A7)</f>
      </c>
      <c r="C7" s="4">
        <f>COUNTIFS(Checks!$B$2:$B$140,$A7,Checks!$G$2:$G$140,"Pass")</f>
      </c>
      <c r="D7" s="4">
        <f>COUNTIFS(Checks!$B$2:$B$140,$A7,Checks!$G$2:$G$140,"Fail")</f>
      </c>
      <c r="E7" s="4">
        <f>COUNTIFS(Checks!$B$2:$B$140,$A7,Checks!$G$2:$G$140,"Blocked")</f>
      </c>
      <c r="F7" s="4">
        <f>COUNTIFS(Checks!$B$2:$B$140,$A7,Checks!$G$2:$G$140,"Not run")</f>
      </c>
      <c r="G7" s="4">
        <f>COUNTIFS(Checks!$B$2:$B$140,$A7,Checks!$F$2:$F$140,"NEW")</f>
      </c>
      <c r="H7" s="4">
        <f>COUNTIFS(Checks!$B$2:$B$140,$A7,Checks!$F$2:$F$140,"REGRESSION")</f>
      </c>
    </row>
    <row r="8">
      <c r="A8" s="2" t="inlineStr">
        <is>
          <t xml:space="preserve">Company Contacts</t>
        </is>
      </c>
      <c r="B8" s="4">
        <f>COUNTIF(Checks!$B$2:$B$140,$A8)</f>
      </c>
      <c r="C8" s="4">
        <f>COUNTIFS(Checks!$B$2:$B$140,$A8,Checks!$G$2:$G$140,"Pass")</f>
      </c>
      <c r="D8" s="4">
        <f>COUNTIFS(Checks!$B$2:$B$140,$A8,Checks!$G$2:$G$140,"Fail")</f>
      </c>
      <c r="E8" s="4">
        <f>COUNTIFS(Checks!$B$2:$B$140,$A8,Checks!$G$2:$G$140,"Blocked")</f>
      </c>
      <c r="F8" s="4">
        <f>COUNTIFS(Checks!$B$2:$B$140,$A8,Checks!$G$2:$G$140,"Not run")</f>
      </c>
      <c r="G8" s="4">
        <f>COUNTIFS(Checks!$B$2:$B$140,$A8,Checks!$F$2:$F$140,"NEW")</f>
      </c>
      <c r="H8" s="4">
        <f>COUNTIFS(Checks!$B$2:$B$140,$A8,Checks!$F$2:$F$140,"REGRESSION")</f>
      </c>
    </row>
    <row r="9">
      <c r="A9" s="2" t="inlineStr">
        <is>
          <t xml:space="preserve">Contact card</t>
        </is>
      </c>
      <c r="B9" s="4">
        <f>COUNTIF(Checks!$B$2:$B$140,$A9)</f>
      </c>
      <c r="C9" s="4">
        <f>COUNTIFS(Checks!$B$2:$B$140,$A9,Checks!$G$2:$G$140,"Pass")</f>
      </c>
      <c r="D9" s="4">
        <f>COUNTIFS(Checks!$B$2:$B$140,$A9,Checks!$G$2:$G$140,"Fail")</f>
      </c>
      <c r="E9" s="4">
        <f>COUNTIFS(Checks!$B$2:$B$140,$A9,Checks!$G$2:$G$140,"Blocked")</f>
      </c>
      <c r="F9" s="4">
        <f>COUNTIFS(Checks!$B$2:$B$140,$A9,Checks!$G$2:$G$140,"Not run")</f>
      </c>
      <c r="G9" s="4">
        <f>COUNTIFS(Checks!$B$2:$B$140,$A9,Checks!$F$2:$F$140,"NEW")</f>
      </c>
      <c r="H9" s="4">
        <f>COUNTIFS(Checks!$B$2:$B$140,$A9,Checks!$F$2:$F$140,"REGRESSION")</f>
      </c>
    </row>
    <row r="10">
      <c r="A10" s="8" t="inlineStr">
        <is>
          <t xml:space="preserve">All areas</t>
        </is>
      </c>
      <c r="B10" s="8">
        <f>SUM(B5:B9)</f>
      </c>
      <c r="C10" s="8">
        <f>SUM(C5:C9)</f>
      </c>
      <c r="D10" s="8">
        <f>SUM(D5:D9)</f>
      </c>
      <c r="E10" s="8">
        <f>SUM(E5:E9)</f>
      </c>
      <c r="F10" s="8">
        <f>SUM(F5:F9)</f>
      </c>
      <c r="G10" s="8">
        <f>SUM(G5:G9)</f>
      </c>
      <c r="H10" s="8">
        <f>SUM(H5:H9)</f>
      </c>
    </row>
    <row r="12">
      <c r="A12" s="9" t="inlineStr">
        <is>
          <t xml:space="preserve">Sign-off gate</t>
        </is>
      </c>
    </row>
    <row r="13">
      <c r="A13" s="2" t="inlineStr">
        <is>
          <t xml:space="preserve">Every check has a status other than "Not run"</t>
        </is>
      </c>
      <c r="B13" s="4">
        <f>IF(COUNTIF(Checks!$G$2:$G$140,"Not run")=0,"Met","Outstanding: "&amp;COUNTIF(Checks!$G$2:$G$140,"Not run"))</f>
      </c>
    </row>
    <row r="14">
      <c r="A14" s="2" t="inlineStr">
        <is>
          <t xml:space="preserve">No failures outstanding</t>
        </is>
      </c>
      <c r="B14" s="4">
        <f>IF(COUNTIF(Checks!$G$2:$G$140,"Fail")=0,"Met","Failures: "&amp;COUNTIF(Checks!$G$2:$G$140,"Fail"))</f>
      </c>
    </row>
    <row r="15">
      <c r="A15" s="2" t="inlineStr">
        <is>
          <t xml:space="preserve">Every NEW check has been run</t>
        </is>
      </c>
      <c r="B15" s="4">
        <f>IF(COUNTIFS(Checks!$F$2:$F$140,"NEW",Checks!$G$2:$G$140,"Not run")=0,"Met","Outstanding: "&amp;COUNTIFS(Checks!$F$2:$F$140,"NEW",Checks!$G$2:$G$140,"Not run"))</f>
      </c>
    </row>
    <row r="16">
      <c r="A16" s="2" t="inlineStr">
        <is>
          <t xml:space="preserve">npm test / ai:check / build / check all green</t>
        </is>
      </c>
      <c r="B16" s="4" t="inlineStr">
        <is>
          <t xml:space="preserve">No</t>
        </is>
      </c>
    </row>
    <row r="17">
      <c r="A17" s="2" t="inlineStr">
        <is>
          <t xml:space="preserve">Verified in a browser, not only in the suite</t>
        </is>
      </c>
      <c r="B17" s="4" t="inlineStr">
        <is>
          <t xml:space="preserve">No</t>
        </is>
      </c>
    </row>
  </sheetData>
</worksheet>
</file>

<file path=xl/worksheets/sheet3.xml><?xml version="1.0" encoding="utf-8"?>
<worksheet xmlns="http://schemas.openxmlformats.org/spreadsheetml/2006/main">
  <sheetViews>
    <sheetView showGridLines="0" workbookViewId="0"/>
  </sheetViews>
  <sheetFormatPr defaultRowHeight="15"/>
  <cols>
    <col min="1" max="1" width="118" customWidth="1"/>
  </cols>
  <sheetData>
    <row r="1" ht="24" customHeight="1">
      <c r="A1" s="5" t="inlineStr">
        <is>
          <t xml:space="preserve">Running the pass</t>
        </is>
      </c>
    </row>
    <row r="2">
      <c r="A2" s="6" t="inlineStr">
        <is>
          <t xml:space="preserve">Run the areas in the order they appear on the Checks sheet — each one leaves behind what the next needs.</t>
        </is>
      </c>
    </row>
    <row r="4" ht="20" customHeight="1">
      <c r="A4" s="9" t="inlineStr">
        <is>
          <t xml:space="preserve">Run these, in this order</t>
        </is>
      </c>
    </row>
    <row r="5">
      <c r="A5" s="11" t="inlineStr">
        <is>
          <t xml:space="preserve">npm test — the full suite. A green run proves nothing about a function nothing calls; the Sheet editor shipped broken with 2,973 tests passing.</t>
        </is>
      </c>
    </row>
    <row r="6">
      <c r="A6" s="11" t="inlineStr">
        <is>
          <t xml:space="preserve">npm run ai:check — project-brain validation.</t>
        </is>
      </c>
    </row>
    <row r="7">
      <c r="A7" s="11" t="inlineStr">
        <is>
          <t xml:space="preserve">npm run build, then npm run check — including the bundle-budget gate. The 64-byte gzip tolerance is for CI-versus-local zlib differences, not spendable on a feature.</t>
        </is>
      </c>
    </row>
    <row r="8">
      <c r="A8" s="11" t="inlineStr">
        <is>
          <t xml:space="preserve">Open the built bundle in a browser before believing any of it. Four bugs this month passed a source-text assertion that matched the broken line.</t>
        </is>
      </c>
    </row>
    <row r="10" ht="20" customHeight="1">
      <c r="A10" s="9" t="inlineStr">
        <is>
          <t xml:space="preserve">Not bugs — do not raise these</t>
        </is>
      </c>
    </row>
    <row r="11">
      <c r="A11" s="11" t="inlineStr">
        <is>
          <t xml:space="preserve">SMS is fail-closed by design; the workspace routing contract is not built.</t>
        </is>
      </c>
    </row>
    <row r="12">
      <c r="A12" s="11" t="inlineStr">
        <is>
          <t xml:space="preserve">The formula grammar has no conditionals and no date arithmetic — "must total 100%" is shown, never enforced.</t>
        </is>
      </c>
    </row>
    <row r="13">
      <c r="A13" s="11" t="inlineStr">
        <is>
          <t xml:space="preserve">A location field stores the address only; there is nowhere on a workspace field for coordinates.</t>
        </is>
      </c>
    </row>
    <row r="14">
      <c r="A14" s="11" t="inlineStr">
        <is>
          <t xml:space="preserve">Calendar memo alarms fire only while a tab is open — no service worker, no push.</t>
        </is>
      </c>
    </row>
    <row r="15">
      <c r="A15" s="11" t="inlineStr">
        <is>
          <t xml:space="preserve">A private saved view lives in that browser and nowhere else.</t>
        </is>
      </c>
    </row>
    <row r="16">
      <c r="A16" s="11" t="inlineStr">
        <is>
          <t xml:space="preserve">Sub-item lists take no calculation fields.</t>
        </is>
      </c>
    </row>
    <row r="18" ht="20" customHeight="1">
      <c r="A18" s="9" t="inlineStr">
        <is>
          <t xml:space="preserve">Where a failure lives</t>
        </is>
      </c>
    </row>
    <row r="19">
      <c r="A19" s="11" t="inlineStr">
        <is>
          <t xml:space="preserve">Workspace shell, tiles, rail — src/main.js, src/workspaces/rail-reorder.js</t>
        </is>
      </c>
    </row>
    <row r="20">
      <c r="A20" s="11" t="inlineStr">
        <is>
          <t xml:space="preserve">Builder tabs and views — src/workspace/: items-view, board-view, app-views, reports-view, app-settings, builder-modal</t>
        </is>
      </c>
    </row>
    <row r="21">
      <c r="A21" s="11" t="inlineStr">
        <is>
          <t xml:space="preserve">Fields — field-config-ui.js, chip-field.js, option-mint.js, button-field.js, button-push.js, relationship-picker.js</t>
        </is>
      </c>
    </row>
    <row r="22">
      <c r="A22" s="11" t="inlineStr">
        <is>
          <t xml:space="preserve">Contacts and the card — src/company-contacts/: page.js, model.js, timeline.js</t>
        </is>
      </c>
    </row>
  </sheetData>
</worksheet>
</file>

<file path=docProps/app.xml><?xml version="1.0" encoding="utf-8"?>
<Properties xmlns="http://schemas.openxmlformats.org/officeDocument/2006/extended-properties" xmlns:vt="http://schemas.openxmlformats.org/officeDocument/2006/docPropsVTypes">
  <Application>Questbase</Application>
</Properties>
</file>

<file path=docProps/core.xml><?xml version="1.0" encoding="utf-8"?>
<cp:coreProperties xmlns:cp="http://schemas.openxmlformats.org/package/2006/metadata/core-properties" xmlns:dc="http://purl.org/dc/elements/1.1/" xmlns:dcterms="http://purl.org/dc/terms/" xmlns:xsi="http://www.w3.org/2001/XMLSchema-instance">
  <dc:title>Questbase QA Pass</dc:title>
  <dc:subject>Workspace app, App Builder, app fields, Company Contacts, contact card</dc:subject>
  <cp:keywords>QA</cp:keywords>
  <dcterms:created xsi:type="dcterms:W3CDTF">2026-08-15T00:00:00Z</dcterms:created>
</cp:coreProperties>
</file>